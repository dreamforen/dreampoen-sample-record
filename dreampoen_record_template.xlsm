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<sst xmlns="http://schemas.openxmlformats.org/spreadsheetml/2006/main" count="765" uniqueCount="450">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</sst>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200" formatCode="0.0\ &quot;%&quot;"/>
    <numFmt numFmtId="201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1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 wrapText="1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2" fontId="4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200" fontId="61" fillId="0" borderId="179" xfId="5" applyNumberFormat="1" applyFont="1" applyBorder="1" applyAlignment="1" applyProtection="1">
      <alignment horizontal="right" vertical="center"/>
      <protection locked="0"/>
    </xf>
    <xf numFmtId="200" fontId="61" fillId="0" borderId="48" xfId="5" applyNumberFormat="1" applyFont="1" applyBorder="1" applyAlignment="1" applyProtection="1">
      <alignment horizontal="right" vertical="center"/>
      <protection locked="0"/>
    </xf>
    <xf numFmtId="200" fontId="61" fillId="0" borderId="152" xfId="5" applyNumberFormat="1" applyFont="1" applyBorder="1" applyAlignment="1" applyProtection="1">
      <alignment horizontal="right" vertical="center"/>
      <protection locked="0"/>
    </xf>
    <xf numFmtId="200" fontId="61" fillId="0" borderId="151" xfId="5" applyNumberFormat="1" applyFont="1" applyBorder="1" applyAlignment="1" applyProtection="1">
      <alignment horizontal="right" vertical="center"/>
      <protection locked="0"/>
    </xf>
    <xf numFmtId="200" fontId="61" fillId="0" borderId="180" xfId="5" applyNumberFormat="1" applyFont="1" applyBorder="1" applyAlignment="1" applyProtection="1">
      <alignment horizontal="right" vertical="center"/>
      <protection locked="0"/>
    </xf>
    <xf numFmtId="200" fontId="61" fillId="0" borderId="69" xfId="5" applyNumberFormat="1" applyFont="1" applyBorder="1" applyAlignment="1" applyProtection="1">
      <alignment horizontal="right" vertical="center"/>
      <protection locked="0"/>
    </xf>
    <xf numFmtId="0" fontId="2" fillId="0" borderId="63" xfId="0" applyFont="1" applyBorder="1" applyAlignment="1">
      <alignment horizontal="center" vertical="center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2" borderId="177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184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2" fontId="2" fillId="0" borderId="27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46" xfId="0" applyFont="1" applyBorder="1" applyAlignment="1">
      <alignment vertical="center"/>
    </xf>
    <xf numFmtId="0" fontId="2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0" fontId="3" fillId="0" borderId="42" xfId="0" applyFont="1" applyFill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center" vertical="center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181" fontId="4" fillId="0" borderId="40" xfId="0" applyNumberFormat="1" applyFont="1" applyFill="1" applyBorder="1" applyAlignment="1">
      <alignment horizontal="center"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80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8" fillId="0" borderId="37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43" xfId="0" applyFont="1" applyFill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2" fontId="18" fillId="5" borderId="27" xfId="0" applyNumberFormat="1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9" fillId="5" borderId="43" xfId="0" applyFont="1" applyFill="1" applyBorder="1" applyAlignment="1">
      <alignment horizontal="left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176" fontId="18" fillId="5" borderId="27" xfId="0" applyNumberFormat="1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182" fontId="28" fillId="0" borderId="28" xfId="0" applyNumberFormat="1" applyFont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center" vertical="center" wrapText="1"/>
      <protection locked="0"/>
    </xf>
    <xf numFmtId="183" fontId="4" fillId="4" borderId="24" xfId="0" applyNumberFormat="1" applyFont="1" applyFill="1" applyBorder="1" applyAlignment="1" applyProtection="1">
      <alignment horizontal="center" vertical="center"/>
      <protection locked="0"/>
    </xf>
    <xf numFmtId="183" fontId="4" fillId="4" borderId="108" xfId="0" applyNumberFormat="1" applyFont="1" applyFill="1" applyBorder="1" applyAlignment="1" applyProtection="1">
      <alignment horizontal="center" vertical="center"/>
      <protection locked="0"/>
    </xf>
    <xf numFmtId="183" fontId="4" fillId="4" borderId="142" xfId="0" applyNumberFormat="1" applyFont="1" applyFill="1" applyBorder="1" applyAlignment="1" applyProtection="1">
      <alignment horizontal="center" vertical="center"/>
      <protection locked="0"/>
    </xf>
    <xf numFmtId="183" fontId="4" fillId="4" borderId="44" xfId="0" applyNumberFormat="1" applyFont="1" applyFill="1" applyBorder="1" applyAlignment="1" applyProtection="1">
      <alignment horizontal="center" vertical="center"/>
      <protection locked="0"/>
    </xf>
    <xf numFmtId="183" fontId="4" fillId="4" borderId="122" xfId="0" applyNumberFormat="1" applyFont="1" applyFill="1" applyBorder="1" applyAlignment="1" applyProtection="1">
      <alignment horizontal="center" vertical="center"/>
      <protection locked="0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X24" sqref="X24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404" t="s">
        <v>412</v>
      </c>
      <c r="F2" s="405"/>
      <c r="G2" s="422"/>
      <c r="H2" s="423"/>
      <c r="I2" s="424" t="s">
        <v>386</v>
      </c>
      <c r="J2" s="425"/>
      <c r="K2" s="425"/>
      <c r="L2" s="425"/>
      <c r="M2" s="425"/>
      <c r="N2" s="401"/>
      <c r="O2" s="424" t="s">
        <v>2</v>
      </c>
      <c r="P2" s="401"/>
      <c r="Q2" s="444"/>
      <c r="R2" s="445"/>
      <c r="S2" s="1"/>
    </row>
    <row r="3" spans="5:19" ht="27.75" customHeight="1">
      <c r="E3" s="406" t="s">
        <v>3</v>
      </c>
      <c r="F3" s="407"/>
      <c r="G3" s="413"/>
      <c r="H3" s="414"/>
      <c r="I3" s="414"/>
      <c r="J3" s="414"/>
      <c r="K3" s="414"/>
      <c r="L3" s="414"/>
      <c r="M3" s="415"/>
      <c r="N3" s="410" t="s">
        <v>410</v>
      </c>
      <c r="O3" s="396"/>
      <c r="P3" s="396"/>
      <c r="Q3" s="396"/>
      <c r="R3" s="411"/>
      <c r="S3" s="1"/>
    </row>
    <row r="4" spans="5:19" ht="17.25" customHeight="1">
      <c r="E4" s="408"/>
      <c r="F4" s="409"/>
      <c r="G4" s="426"/>
      <c r="H4" s="427"/>
      <c r="I4" s="427"/>
      <c r="J4" s="427"/>
      <c r="K4" s="427"/>
      <c r="L4" s="427"/>
      <c r="M4" s="428"/>
      <c r="N4" s="385" t="s">
        <v>7</v>
      </c>
      <c r="O4" s="331"/>
      <c r="P4" s="395" t="s">
        <v>8</v>
      </c>
      <c r="Q4" s="396"/>
      <c r="R4" s="411"/>
      <c r="S4" s="1"/>
    </row>
    <row r="5" spans="5:19" ht="17.25" customHeight="1">
      <c r="E5" s="431" t="s">
        <v>402</v>
      </c>
      <c r="F5" s="432"/>
      <c r="G5" s="413"/>
      <c r="H5" s="414"/>
      <c r="I5" s="414"/>
      <c r="J5" s="414"/>
      <c r="K5" s="414"/>
      <c r="L5" s="414"/>
      <c r="M5" s="415"/>
      <c r="N5" s="412" t="s">
        <v>415</v>
      </c>
      <c r="O5" s="461"/>
      <c r="P5" s="4" t="s">
        <v>416</v>
      </c>
      <c r="Q5" s="412" t="s">
        <v>413</v>
      </c>
      <c r="R5" s="411"/>
      <c r="S5" s="1"/>
    </row>
    <row r="6" spans="5:19" ht="24.75" customHeight="1">
      <c r="E6" s="433"/>
      <c r="F6" s="434"/>
      <c r="G6" s="416"/>
      <c r="H6" s="417"/>
      <c r="I6" s="417"/>
      <c r="J6" s="417"/>
      <c r="K6" s="417"/>
      <c r="L6" s="417"/>
      <c r="M6" s="418"/>
      <c r="N6" s="689"/>
      <c r="O6" s="690"/>
      <c r="P6" s="691"/>
      <c r="Q6" s="692"/>
      <c r="R6" s="693"/>
      <c r="S6" s="1"/>
    </row>
    <row r="7" spans="5:19" ht="24.75" customHeight="1" thickBot="1">
      <c r="E7" s="429" t="s">
        <v>414</v>
      </c>
      <c r="F7" s="430"/>
      <c r="G7" s="224"/>
      <c r="H7" s="252" t="s">
        <v>15</v>
      </c>
      <c r="I7" s="225"/>
      <c r="J7" s="5" t="s">
        <v>16</v>
      </c>
      <c r="K7" s="419" t="str">
        <f>IF(G18&gt;0,"원형 ■       사각형 □ ","원형 □       사각형 ■ ")</f>
        <v xml:space="preserve">원형 □       사각형 ■ </v>
      </c>
      <c r="L7" s="420"/>
      <c r="M7" s="421"/>
      <c r="N7" s="694"/>
      <c r="O7" s="695"/>
      <c r="P7" s="696"/>
      <c r="Q7" s="697"/>
      <c r="R7" s="698"/>
      <c r="S7" s="1"/>
    </row>
    <row r="8" spans="5:19" ht="15" customHeight="1">
      <c r="E8" s="442"/>
      <c r="F8" s="443"/>
      <c r="G8" s="443"/>
      <c r="H8" s="443"/>
      <c r="I8" s="443"/>
      <c r="J8" s="443"/>
      <c r="K8" s="443"/>
      <c r="L8" s="443"/>
      <c r="M8" s="443"/>
      <c r="N8" s="443"/>
      <c r="O8" s="443"/>
      <c r="P8" s="443"/>
      <c r="Q8" s="443"/>
      <c r="R8" s="443"/>
      <c r="S8" s="1"/>
    </row>
    <row r="9" spans="5:19" ht="27.75" customHeight="1" thickBot="1">
      <c r="E9" s="437" t="s">
        <v>20</v>
      </c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1"/>
    </row>
    <row r="10" spans="5:19" ht="31.5" customHeight="1">
      <c r="E10" s="439" t="s">
        <v>23</v>
      </c>
      <c r="F10" s="436"/>
      <c r="G10" s="440"/>
      <c r="H10" s="441"/>
      <c r="I10" s="211"/>
      <c r="J10" s="446"/>
      <c r="K10" s="447"/>
      <c r="L10" s="446"/>
      <c r="M10" s="447"/>
      <c r="N10" s="435" t="s">
        <v>25</v>
      </c>
      <c r="O10" s="436"/>
      <c r="P10" s="452"/>
      <c r="Q10" s="453"/>
      <c r="R10" s="212"/>
      <c r="S10" s="1"/>
    </row>
    <row r="11" spans="5:19" ht="31.5" customHeight="1">
      <c r="E11" s="330" t="s">
        <v>28</v>
      </c>
      <c r="F11" s="331"/>
      <c r="G11" s="463"/>
      <c r="H11" s="398"/>
      <c r="I11" s="213"/>
      <c r="J11" s="448"/>
      <c r="K11" s="449"/>
      <c r="L11" s="448"/>
      <c r="M11" s="449"/>
      <c r="N11" s="390" t="s">
        <v>421</v>
      </c>
      <c r="O11" s="409"/>
      <c r="P11" s="394"/>
      <c r="Q11" s="345"/>
      <c r="R11" s="214"/>
      <c r="S11" s="1"/>
    </row>
    <row r="12" spans="5:19" ht="31.5" customHeight="1">
      <c r="E12" s="330" t="s">
        <v>33</v>
      </c>
      <c r="F12" s="331"/>
      <c r="G12" s="456"/>
      <c r="H12" s="345"/>
      <c r="I12" s="457"/>
      <c r="J12" s="366"/>
      <c r="K12" s="409"/>
      <c r="L12" s="366"/>
      <c r="M12" s="409"/>
      <c r="N12" s="390" t="s">
        <v>420</v>
      </c>
      <c r="O12" s="409"/>
      <c r="P12" s="450"/>
      <c r="Q12" s="451"/>
      <c r="R12" s="214"/>
      <c r="S12" s="1"/>
    </row>
    <row r="13" spans="5:19" ht="31.5" customHeight="1">
      <c r="E13" s="330" t="s">
        <v>36</v>
      </c>
      <c r="F13" s="331"/>
      <c r="G13" s="454"/>
      <c r="H13" s="398"/>
      <c r="I13" s="458"/>
      <c r="J13" s="455"/>
      <c r="K13" s="407"/>
      <c r="L13" s="455"/>
      <c r="M13" s="407"/>
      <c r="N13" s="390" t="s">
        <v>423</v>
      </c>
      <c r="O13" s="409"/>
      <c r="P13" s="450"/>
      <c r="Q13" s="462"/>
      <c r="R13" s="279"/>
      <c r="S13" s="1"/>
    </row>
    <row r="14" spans="5:19" ht="31.5" customHeight="1">
      <c r="E14" s="330" t="s">
        <v>39</v>
      </c>
      <c r="F14" s="331"/>
      <c r="G14" s="454"/>
      <c r="H14" s="398"/>
      <c r="I14" s="218"/>
      <c r="J14" s="448"/>
      <c r="K14" s="449"/>
      <c r="L14" s="448"/>
      <c r="M14" s="449"/>
      <c r="N14" s="385" t="s">
        <v>49</v>
      </c>
      <c r="O14" s="331"/>
      <c r="P14" s="450"/>
      <c r="Q14" s="451"/>
      <c r="R14" s="214"/>
      <c r="S14" s="1"/>
    </row>
    <row r="15" spans="5:19" ht="31.5" customHeight="1">
      <c r="E15" s="330" t="s">
        <v>43</v>
      </c>
      <c r="F15" s="331"/>
      <c r="G15" s="456"/>
      <c r="H15" s="345"/>
      <c r="I15" s="457"/>
      <c r="J15" s="366"/>
      <c r="K15" s="409"/>
      <c r="L15" s="366"/>
      <c r="M15" s="409"/>
      <c r="N15" s="370" t="s">
        <v>56</v>
      </c>
      <c r="O15" s="331"/>
      <c r="P15" s="450"/>
      <c r="Q15" s="451"/>
      <c r="R15" s="214"/>
      <c r="S15" s="1"/>
    </row>
    <row r="16" spans="5:19" ht="39.75" customHeight="1">
      <c r="E16" s="343" t="s">
        <v>419</v>
      </c>
      <c r="F16" s="331"/>
      <c r="G16" s="327"/>
      <c r="H16" s="328"/>
      <c r="I16" s="329"/>
      <c r="J16" s="215" t="s">
        <v>48</v>
      </c>
      <c r="K16" s="382" t="str">
        <f>IFERROR(#REF!/1000,"")</f>
        <v/>
      </c>
      <c r="L16" s="383"/>
      <c r="M16" s="217" t="str">
        <f>IF(K16="","","m")</f>
        <v/>
      </c>
      <c r="N16" s="385" t="s">
        <v>422</v>
      </c>
      <c r="O16" s="331"/>
      <c r="P16" s="402"/>
      <c r="Q16" s="345"/>
      <c r="R16" s="214"/>
      <c r="S16" s="1"/>
    </row>
    <row r="17" spans="5:19" ht="31.5" customHeight="1">
      <c r="E17" s="330" t="s">
        <v>53</v>
      </c>
      <c r="F17" s="331"/>
      <c r="G17" s="459"/>
      <c r="H17" s="460"/>
      <c r="I17" s="209"/>
      <c r="J17" s="215" t="s">
        <v>55</v>
      </c>
      <c r="K17" s="382" t="str">
        <f>IFERROR(#REF!/1000,"")</f>
        <v/>
      </c>
      <c r="L17" s="383"/>
      <c r="M17" s="217" t="str">
        <f>IF(K17="","","m")</f>
        <v/>
      </c>
      <c r="N17" s="370" t="s">
        <v>424</v>
      </c>
      <c r="O17" s="331"/>
      <c r="P17" s="402"/>
      <c r="Q17" s="403"/>
      <c r="R17" s="214"/>
      <c r="S17" s="1"/>
    </row>
    <row r="18" spans="5:19" ht="31.5" customHeight="1">
      <c r="E18" s="332" t="s">
        <v>404</v>
      </c>
      <c r="F18" s="333"/>
      <c r="G18" s="394"/>
      <c r="H18" s="345"/>
      <c r="I18" s="209"/>
      <c r="J18" s="215" t="s">
        <v>60</v>
      </c>
      <c r="K18" s="382" t="str">
        <f>IFERROR(#REF!/1000,"")</f>
        <v/>
      </c>
      <c r="L18" s="383"/>
      <c r="M18" s="217" t="str">
        <f>IF(K18="","","m")</f>
        <v/>
      </c>
      <c r="N18" s="386" t="s">
        <v>449</v>
      </c>
      <c r="O18" s="387"/>
      <c r="P18" s="388"/>
      <c r="Q18" s="386" t="s">
        <v>417</v>
      </c>
      <c r="R18" s="392"/>
      <c r="S18" s="1"/>
    </row>
    <row r="19" spans="5:19" ht="31.5" customHeight="1">
      <c r="E19" s="334"/>
      <c r="F19" s="335"/>
      <c r="G19" s="256"/>
      <c r="H19" s="250"/>
      <c r="I19" s="244"/>
      <c r="J19" s="215" t="s">
        <v>62</v>
      </c>
      <c r="K19" s="382" t="str">
        <f>IFERROR(#REF!/1000,"")</f>
        <v/>
      </c>
      <c r="L19" s="383"/>
      <c r="M19" s="217" t="str">
        <f>IF(K19="","","m")</f>
        <v/>
      </c>
      <c r="N19" s="389"/>
      <c r="O19" s="390"/>
      <c r="P19" s="391"/>
      <c r="Q19" s="389"/>
      <c r="R19" s="393"/>
      <c r="S19" s="1"/>
    </row>
    <row r="20" spans="5:19" ht="31.5" customHeight="1">
      <c r="E20" s="330" t="s">
        <v>397</v>
      </c>
      <c r="F20" s="370"/>
      <c r="G20" s="370"/>
      <c r="H20" s="368" t="s">
        <v>398</v>
      </c>
      <c r="I20" s="369"/>
      <c r="J20" s="215" t="s">
        <v>63</v>
      </c>
      <c r="K20" s="382" t="str">
        <f>IFERROR(#REF!/1000,"")</f>
        <v/>
      </c>
      <c r="L20" s="383"/>
      <c r="M20" s="217" t="str">
        <f>IF(K20="","","m")</f>
        <v/>
      </c>
      <c r="N20" s="385" t="s">
        <v>64</v>
      </c>
      <c r="O20" s="331"/>
      <c r="P20" s="227"/>
      <c r="Q20" s="683"/>
      <c r="R20" s="684"/>
      <c r="S20" s="1"/>
    </row>
    <row r="21" spans="5:19" ht="31.5" customHeight="1">
      <c r="E21" s="330" t="s">
        <v>67</v>
      </c>
      <c r="F21" s="331"/>
      <c r="G21" s="245"/>
      <c r="H21" s="371"/>
      <c r="I21" s="372"/>
      <c r="J21" s="210"/>
      <c r="K21" s="395"/>
      <c r="L21" s="396"/>
      <c r="M21" s="331"/>
      <c r="N21" s="386" t="s">
        <v>68</v>
      </c>
      <c r="O21" s="407"/>
      <c r="P21" s="227"/>
      <c r="Q21" s="685"/>
      <c r="R21" s="686"/>
      <c r="S21" s="1"/>
    </row>
    <row r="22" spans="5:19" ht="31.5" customHeight="1">
      <c r="E22" s="343" t="s">
        <v>70</v>
      </c>
      <c r="F22" s="331"/>
      <c r="G22" s="246"/>
      <c r="H22" s="373"/>
      <c r="I22" s="374"/>
      <c r="J22" s="377" t="s">
        <v>442</v>
      </c>
      <c r="K22" s="381"/>
      <c r="L22" s="338"/>
      <c r="M22" s="331"/>
      <c r="N22" s="385" t="s">
        <v>71</v>
      </c>
      <c r="O22" s="331"/>
      <c r="P22" s="219"/>
      <c r="Q22" s="687"/>
      <c r="R22" s="688"/>
      <c r="S22" s="1"/>
    </row>
    <row r="23" spans="5:19" ht="31.5" customHeight="1">
      <c r="E23" s="343" t="s">
        <v>73</v>
      </c>
      <c r="F23" s="331"/>
      <c r="G23" s="246"/>
      <c r="H23" s="373"/>
      <c r="I23" s="374"/>
      <c r="J23" s="377"/>
      <c r="K23" s="381"/>
      <c r="L23" s="378"/>
      <c r="M23" s="331"/>
      <c r="N23" s="385" t="s">
        <v>74</v>
      </c>
      <c r="O23" s="396"/>
      <c r="P23" s="396"/>
      <c r="Q23" s="396"/>
      <c r="R23" s="411"/>
      <c r="S23" s="1"/>
    </row>
    <row r="24" spans="5:19" ht="31.5" customHeight="1">
      <c r="E24" s="343" t="s">
        <v>75</v>
      </c>
      <c r="F24" s="331"/>
      <c r="G24" s="246"/>
      <c r="H24" s="373"/>
      <c r="I24" s="374"/>
      <c r="J24" s="377" t="s">
        <v>444</v>
      </c>
      <c r="K24" s="377"/>
      <c r="L24" s="378"/>
      <c r="M24" s="331"/>
      <c r="N24" s="385" t="s">
        <v>64</v>
      </c>
      <c r="O24" s="331"/>
      <c r="P24" s="346"/>
      <c r="Q24" s="347"/>
      <c r="R24" s="348"/>
      <c r="S24" s="1"/>
    </row>
    <row r="25" spans="5:19" ht="31.5" customHeight="1">
      <c r="E25" s="343" t="s">
        <v>78</v>
      </c>
      <c r="F25" s="331"/>
      <c r="G25" s="247"/>
      <c r="H25" s="375"/>
      <c r="I25" s="376"/>
      <c r="J25" s="380" t="s">
        <v>445</v>
      </c>
      <c r="K25" s="377"/>
      <c r="L25" s="378" t="str">
        <f>등속계산!U57</f>
        <v/>
      </c>
      <c r="M25" s="379"/>
      <c r="N25" s="386" t="s">
        <v>68</v>
      </c>
      <c r="O25" s="407"/>
      <c r="P25" s="346"/>
      <c r="Q25" s="347"/>
      <c r="R25" s="348"/>
      <c r="S25" s="1"/>
    </row>
    <row r="26" spans="5:19" ht="31.5" customHeight="1" thickBot="1">
      <c r="E26" s="356" t="s">
        <v>80</v>
      </c>
      <c r="F26" s="357"/>
      <c r="G26" s="349" t="e">
        <f>IF(#REF!,"",(22.4/18*#REF!)/((#REF!*(273/(273+#REF!))*((#REF!+#REF!)/760)+(22.4/18*#REF!)))*100)</f>
        <v>#REF!</v>
      </c>
      <c r="H26" s="361"/>
      <c r="I26" s="361"/>
      <c r="J26" s="362"/>
      <c r="K26" s="362"/>
      <c r="L26" s="362"/>
      <c r="M26" s="363"/>
      <c r="N26" s="384" t="s">
        <v>71</v>
      </c>
      <c r="O26" s="357"/>
      <c r="P26" s="349">
        <f>P25-P24</f>
        <v>0</v>
      </c>
      <c r="Q26" s="350"/>
      <c r="R26" s="351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367" t="s">
        <v>440</v>
      </c>
      <c r="F29" s="367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339" t="s">
        <v>411</v>
      </c>
      <c r="F30" s="336" t="s">
        <v>86</v>
      </c>
      <c r="G30" s="336" t="s">
        <v>448</v>
      </c>
      <c r="H30" s="336" t="s">
        <v>87</v>
      </c>
      <c r="I30" s="336" t="s">
        <v>88</v>
      </c>
      <c r="J30" s="336" t="s">
        <v>418</v>
      </c>
      <c r="K30" s="336" t="s">
        <v>89</v>
      </c>
      <c r="L30" s="336" t="s">
        <v>399</v>
      </c>
      <c r="M30" s="400" t="s">
        <v>91</v>
      </c>
      <c r="N30" s="401"/>
      <c r="O30" s="336" t="s">
        <v>400</v>
      </c>
      <c r="P30" s="364" t="s">
        <v>385</v>
      </c>
      <c r="Q30" s="365"/>
      <c r="R30" s="354" t="s">
        <v>94</v>
      </c>
      <c r="S30" s="1"/>
    </row>
    <row r="31" spans="5:19" ht="46.15" customHeight="1">
      <c r="E31" s="340"/>
      <c r="F31" s="337"/>
      <c r="G31" s="337"/>
      <c r="H31" s="337"/>
      <c r="I31" s="337"/>
      <c r="J31" s="337"/>
      <c r="K31" s="337"/>
      <c r="L31" s="337"/>
      <c r="M31" s="14" t="s">
        <v>96</v>
      </c>
      <c r="N31" s="14" t="s">
        <v>97</v>
      </c>
      <c r="O31" s="337"/>
      <c r="P31" s="366"/>
      <c r="Q31" s="335"/>
      <c r="R31" s="355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44"/>
      <c r="Q32" s="3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44"/>
      <c r="Q33" s="3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44"/>
      <c r="Q34" s="345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44"/>
      <c r="Q35" s="345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44"/>
      <c r="Q36" s="345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397"/>
      <c r="Q37" s="398"/>
      <c r="R37" s="16"/>
      <c r="S37" s="1"/>
    </row>
    <row r="38" spans="5:19" ht="31.5" customHeight="1" thickBot="1">
      <c r="E38" s="341" t="s">
        <v>106</v>
      </c>
      <c r="F38" s="342"/>
      <c r="G38" s="221"/>
      <c r="H38" s="221"/>
      <c r="I38" s="221"/>
      <c r="J38" s="221"/>
      <c r="K38" s="221"/>
      <c r="L38" s="221"/>
      <c r="M38" s="358"/>
      <c r="N38" s="359"/>
      <c r="O38" s="221"/>
      <c r="P38" s="399"/>
      <c r="Q38" s="35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52" t="s">
        <v>401</v>
      </c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82" t="s">
        <v>126</v>
      </c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  <c r="R1" s="443"/>
      <c r="S1" s="443"/>
      <c r="T1" s="443"/>
      <c r="U1" s="443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83">
        <f>'기록지(먼지)'!G2</f>
        <v>0</v>
      </c>
      <c r="E2" s="443"/>
      <c r="F2" s="443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76" t="s">
        <v>390</v>
      </c>
      <c r="E9" s="477"/>
      <c r="F9" s="477"/>
      <c r="G9" s="477"/>
      <c r="H9" s="477"/>
      <c r="I9" s="34" t="s">
        <v>134</v>
      </c>
      <c r="J9" s="35"/>
      <c r="K9" s="36"/>
      <c r="M9" s="267" t="s">
        <v>127</v>
      </c>
      <c r="N9" s="268" t="s">
        <v>132</v>
      </c>
      <c r="O9" s="472" t="s">
        <v>390</v>
      </c>
      <c r="P9" s="484"/>
      <c r="Q9" s="484"/>
      <c r="R9" s="484"/>
      <c r="S9" s="484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73" t="s">
        <v>136</v>
      </c>
      <c r="E10" s="443"/>
      <c r="F10" s="443"/>
      <c r="G10" s="443"/>
      <c r="H10" s="443"/>
      <c r="I10" s="38" t="s">
        <v>134</v>
      </c>
      <c r="J10" s="39"/>
      <c r="K10" s="40"/>
      <c r="M10" s="272" t="s">
        <v>391</v>
      </c>
      <c r="N10" s="286" t="s">
        <v>132</v>
      </c>
      <c r="O10" s="468" t="s">
        <v>394</v>
      </c>
      <c r="P10" s="478"/>
      <c r="Q10" s="478"/>
      <c r="R10" s="478"/>
      <c r="S10" s="478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73" t="s">
        <v>138</v>
      </c>
      <c r="E11" s="443"/>
      <c r="F11" s="443"/>
      <c r="G11" s="443"/>
      <c r="H11" s="443"/>
      <c r="I11" s="38" t="s">
        <v>134</v>
      </c>
      <c r="J11" s="13"/>
      <c r="K11" s="40"/>
      <c r="M11" s="272" t="s">
        <v>392</v>
      </c>
      <c r="N11" s="286" t="s">
        <v>132</v>
      </c>
      <c r="O11" s="468" t="s">
        <v>395</v>
      </c>
      <c r="P11" s="478"/>
      <c r="Q11" s="478"/>
      <c r="R11" s="478"/>
      <c r="S11" s="478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73" t="s">
        <v>140</v>
      </c>
      <c r="E12" s="443"/>
      <c r="F12" s="443"/>
      <c r="G12" s="443"/>
      <c r="H12" s="443"/>
      <c r="I12" s="38" t="s">
        <v>134</v>
      </c>
      <c r="J12" s="13"/>
      <c r="K12" s="40"/>
      <c r="M12" s="272" t="s">
        <v>393</v>
      </c>
      <c r="N12" s="286" t="s">
        <v>132</v>
      </c>
      <c r="O12" s="468" t="s">
        <v>396</v>
      </c>
      <c r="P12" s="478"/>
      <c r="Q12" s="478"/>
      <c r="R12" s="478"/>
      <c r="S12" s="478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73" t="s">
        <v>142</v>
      </c>
      <c r="E13" s="443"/>
      <c r="F13" s="443"/>
      <c r="G13" s="443"/>
      <c r="H13" s="443"/>
      <c r="I13" s="38" t="s">
        <v>134</v>
      </c>
      <c r="J13" s="2"/>
      <c r="K13" s="40"/>
      <c r="M13" s="272" t="s">
        <v>408</v>
      </c>
      <c r="N13" s="286" t="s">
        <v>407</v>
      </c>
      <c r="O13" s="468" t="s">
        <v>405</v>
      </c>
      <c r="P13" s="478"/>
      <c r="Q13" s="478"/>
      <c r="R13" s="478"/>
      <c r="S13" s="478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74" t="s">
        <v>143</v>
      </c>
      <c r="E14" s="475"/>
      <c r="F14" s="475"/>
      <c r="G14" s="475"/>
      <c r="H14" s="475"/>
      <c r="I14" s="45" t="s">
        <v>134</v>
      </c>
      <c r="J14" s="46"/>
      <c r="K14" s="47"/>
      <c r="M14" s="274" t="s">
        <v>409</v>
      </c>
      <c r="N14" s="248" t="s">
        <v>407</v>
      </c>
      <c r="O14" s="480" t="s">
        <v>406</v>
      </c>
      <c r="P14" s="481"/>
      <c r="Q14" s="481"/>
      <c r="R14" s="481"/>
      <c r="S14" s="481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76" t="s">
        <v>145</v>
      </c>
      <c r="E22" s="477"/>
      <c r="F22" s="477"/>
      <c r="G22" s="477"/>
      <c r="H22" s="477"/>
      <c r="I22" s="34" t="s">
        <v>134</v>
      </c>
      <c r="J22" s="35"/>
      <c r="K22" s="36"/>
      <c r="M22" s="287" t="s">
        <v>130</v>
      </c>
      <c r="N22" s="33" t="s">
        <v>132</v>
      </c>
      <c r="O22" s="479" t="s">
        <v>147</v>
      </c>
      <c r="P22" s="479"/>
      <c r="Q22" s="479"/>
      <c r="R22" s="479"/>
      <c r="S22" s="479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73" t="s">
        <v>147</v>
      </c>
      <c r="E23" s="443"/>
      <c r="F23" s="443"/>
      <c r="G23" s="443"/>
      <c r="H23" s="443"/>
      <c r="I23" s="291" t="s">
        <v>134</v>
      </c>
      <c r="J23" s="283"/>
      <c r="K23" s="40"/>
      <c r="M23" s="37" t="s">
        <v>127</v>
      </c>
      <c r="N23" s="282" t="s">
        <v>132</v>
      </c>
      <c r="O23" s="473" t="s">
        <v>80</v>
      </c>
      <c r="P23" s="473"/>
      <c r="Q23" s="473"/>
      <c r="R23" s="473"/>
      <c r="S23" s="473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73" t="s">
        <v>149</v>
      </c>
      <c r="E24" s="443"/>
      <c r="F24" s="443"/>
      <c r="G24" s="443"/>
      <c r="H24" s="443"/>
      <c r="I24" s="291" t="s">
        <v>134</v>
      </c>
      <c r="J24" s="283"/>
      <c r="K24" s="40"/>
      <c r="M24" s="37" t="s">
        <v>137</v>
      </c>
      <c r="N24" s="282" t="s">
        <v>132</v>
      </c>
      <c r="O24" s="473" t="s">
        <v>153</v>
      </c>
      <c r="P24" s="473"/>
      <c r="Q24" s="473"/>
      <c r="R24" s="473"/>
      <c r="S24" s="473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73" t="s">
        <v>150</v>
      </c>
      <c r="E25" s="443"/>
      <c r="F25" s="443"/>
      <c r="G25" s="443"/>
      <c r="H25" s="443"/>
      <c r="I25" s="291" t="s">
        <v>134</v>
      </c>
      <c r="J25" s="283"/>
      <c r="K25" s="40"/>
      <c r="M25" s="37" t="s">
        <v>141</v>
      </c>
      <c r="N25" s="282" t="s">
        <v>132</v>
      </c>
      <c r="O25" s="473" t="s">
        <v>154</v>
      </c>
      <c r="P25" s="443"/>
      <c r="Q25" s="443"/>
      <c r="R25" s="443"/>
      <c r="S25" s="443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74" t="s">
        <v>151</v>
      </c>
      <c r="E26" s="475"/>
      <c r="F26" s="475"/>
      <c r="G26" s="475"/>
      <c r="H26" s="475"/>
      <c r="I26" s="45" t="s">
        <v>134</v>
      </c>
      <c r="J26" s="49"/>
      <c r="K26" s="47"/>
      <c r="M26" s="43" t="s">
        <v>139</v>
      </c>
      <c r="N26" s="44" t="s">
        <v>132</v>
      </c>
      <c r="O26" s="474" t="s">
        <v>155</v>
      </c>
      <c r="P26" s="475"/>
      <c r="Q26" s="475"/>
      <c r="R26" s="475"/>
      <c r="S26" s="475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76" t="s">
        <v>157</v>
      </c>
      <c r="E35" s="477"/>
      <c r="F35" s="477"/>
      <c r="G35" s="477"/>
      <c r="H35" s="477"/>
      <c r="I35" s="34" t="s">
        <v>134</v>
      </c>
      <c r="J35" s="35"/>
      <c r="K35" s="36"/>
      <c r="M35" s="287" t="s">
        <v>160</v>
      </c>
      <c r="N35" s="33" t="s">
        <v>132</v>
      </c>
      <c r="O35" s="476" t="s">
        <v>161</v>
      </c>
      <c r="P35" s="477"/>
      <c r="Q35" s="477"/>
      <c r="R35" s="477"/>
      <c r="S35" s="477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73" t="s">
        <v>81</v>
      </c>
      <c r="E36" s="443"/>
      <c r="F36" s="443"/>
      <c r="G36" s="443"/>
      <c r="H36" s="443"/>
      <c r="I36" s="291" t="s">
        <v>134</v>
      </c>
      <c r="J36" s="283"/>
      <c r="K36" s="40"/>
      <c r="M36" s="37" t="s">
        <v>162</v>
      </c>
      <c r="N36" s="282" t="s">
        <v>132</v>
      </c>
      <c r="O36" s="473" t="s">
        <v>163</v>
      </c>
      <c r="P36" s="443"/>
      <c r="Q36" s="443"/>
      <c r="R36" s="443"/>
      <c r="S36" s="443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73" t="s">
        <v>158</v>
      </c>
      <c r="E37" s="443"/>
      <c r="F37" s="443"/>
      <c r="G37" s="443"/>
      <c r="H37" s="443"/>
      <c r="I37" s="291" t="s">
        <v>134</v>
      </c>
      <c r="J37" s="50"/>
      <c r="K37" s="40"/>
      <c r="M37" s="43" t="s">
        <v>127</v>
      </c>
      <c r="N37" s="44" t="s">
        <v>132</v>
      </c>
      <c r="O37" s="474" t="s">
        <v>133</v>
      </c>
      <c r="P37" s="475"/>
      <c r="Q37" s="475"/>
      <c r="R37" s="475"/>
      <c r="S37" s="475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74" t="s">
        <v>145</v>
      </c>
      <c r="E38" s="475"/>
      <c r="F38" s="475"/>
      <c r="G38" s="475"/>
      <c r="H38" s="475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7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43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76" t="s">
        <v>165</v>
      </c>
      <c r="E47" s="477"/>
      <c r="F47" s="477"/>
      <c r="G47" s="477"/>
      <c r="H47" s="477"/>
      <c r="I47" s="34" t="s">
        <v>134</v>
      </c>
      <c r="J47" s="35"/>
      <c r="K47" s="36"/>
      <c r="M47" s="267" t="s">
        <v>32</v>
      </c>
      <c r="N47" s="268" t="s">
        <v>132</v>
      </c>
      <c r="O47" s="472" t="s">
        <v>427</v>
      </c>
      <c r="P47" s="472"/>
      <c r="Q47" s="472"/>
      <c r="R47" s="472"/>
      <c r="S47" s="472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73" t="s">
        <v>167</v>
      </c>
      <c r="E48" s="443"/>
      <c r="F48" s="443"/>
      <c r="G48" s="443"/>
      <c r="H48" s="443"/>
      <c r="I48" s="291" t="s">
        <v>134</v>
      </c>
      <c r="J48" s="283"/>
      <c r="K48" s="40"/>
      <c r="M48" s="272" t="s">
        <v>152</v>
      </c>
      <c r="N48" s="286" t="s">
        <v>132</v>
      </c>
      <c r="O48" s="468" t="s">
        <v>428</v>
      </c>
      <c r="P48" s="468"/>
      <c r="Q48" s="468"/>
      <c r="R48" s="468"/>
      <c r="S48" s="468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73" t="s">
        <v>168</v>
      </c>
      <c r="E49" s="443"/>
      <c r="F49" s="443"/>
      <c r="G49" s="443"/>
      <c r="H49" s="443"/>
      <c r="I49" s="291" t="s">
        <v>134</v>
      </c>
      <c r="J49" s="283"/>
      <c r="K49" s="40"/>
      <c r="M49" s="272" t="s">
        <v>6</v>
      </c>
      <c r="N49" s="286" t="s">
        <v>132</v>
      </c>
      <c r="O49" s="468" t="s">
        <v>429</v>
      </c>
      <c r="P49" s="468"/>
      <c r="Q49" s="468"/>
      <c r="R49" s="468"/>
      <c r="S49" s="468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73" t="s">
        <v>169</v>
      </c>
      <c r="E50" s="443"/>
      <c r="F50" s="443"/>
      <c r="G50" s="443"/>
      <c r="H50" s="443"/>
      <c r="I50" s="291" t="s">
        <v>134</v>
      </c>
      <c r="J50" s="282"/>
      <c r="K50" s="40"/>
      <c r="M50" s="272" t="s">
        <v>18</v>
      </c>
      <c r="N50" s="286" t="s">
        <v>132</v>
      </c>
      <c r="O50" s="468" t="s">
        <v>430</v>
      </c>
      <c r="P50" s="468"/>
      <c r="Q50" s="468"/>
      <c r="R50" s="468"/>
      <c r="S50" s="468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73" t="s">
        <v>170</v>
      </c>
      <c r="E51" s="443"/>
      <c r="F51" s="443"/>
      <c r="G51" s="443"/>
      <c r="H51" s="443"/>
      <c r="I51" s="291" t="s">
        <v>134</v>
      </c>
      <c r="J51" s="52"/>
      <c r="K51" s="40"/>
      <c r="M51" s="272" t="s">
        <v>99</v>
      </c>
      <c r="N51" s="286" t="s">
        <v>132</v>
      </c>
      <c r="O51" s="468" t="s">
        <v>151</v>
      </c>
      <c r="P51" s="468"/>
      <c r="Q51" s="468"/>
      <c r="R51" s="468"/>
      <c r="S51" s="468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73" t="s">
        <v>140</v>
      </c>
      <c r="E52" s="443"/>
      <c r="F52" s="443"/>
      <c r="G52" s="443"/>
      <c r="H52" s="443"/>
      <c r="I52" s="291" t="s">
        <v>134</v>
      </c>
      <c r="J52" s="283"/>
      <c r="K52" s="40"/>
      <c r="M52" s="272" t="s">
        <v>66</v>
      </c>
      <c r="N52" s="286" t="s">
        <v>132</v>
      </c>
      <c r="O52" s="468" t="s">
        <v>435</v>
      </c>
      <c r="P52" s="468"/>
      <c r="Q52" s="468"/>
      <c r="R52" s="468"/>
      <c r="S52" s="468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73" t="s">
        <v>171</v>
      </c>
      <c r="E53" s="443"/>
      <c r="F53" s="443"/>
      <c r="G53" s="443"/>
      <c r="H53" s="443"/>
      <c r="I53" s="291" t="s">
        <v>134</v>
      </c>
      <c r="J53" s="282"/>
      <c r="K53" s="40"/>
      <c r="M53" s="272"/>
      <c r="N53" s="286"/>
      <c r="O53" s="468"/>
      <c r="P53" s="468"/>
      <c r="Q53" s="468"/>
      <c r="R53" s="468"/>
      <c r="S53" s="468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73" t="s">
        <v>148</v>
      </c>
      <c r="E54" s="443"/>
      <c r="F54" s="443"/>
      <c r="G54" s="443"/>
      <c r="H54" s="443"/>
      <c r="I54" s="291" t="s">
        <v>134</v>
      </c>
      <c r="J54" s="50"/>
      <c r="K54" s="40"/>
      <c r="M54" s="469" t="s">
        <v>438</v>
      </c>
      <c r="N54" s="470"/>
      <c r="O54" s="470"/>
      <c r="P54" s="470"/>
      <c r="Q54" s="470"/>
      <c r="R54" s="470"/>
      <c r="S54" s="470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73" t="s">
        <v>173</v>
      </c>
      <c r="E55" s="443"/>
      <c r="F55" s="443"/>
      <c r="G55" s="443"/>
      <c r="H55" s="443"/>
      <c r="I55" s="291" t="s">
        <v>134</v>
      </c>
      <c r="J55" s="51"/>
      <c r="K55" s="40"/>
      <c r="L55" s="1"/>
      <c r="M55" s="464"/>
      <c r="N55" s="465"/>
      <c r="O55" s="465"/>
      <c r="P55" s="465"/>
      <c r="Q55" s="465"/>
      <c r="R55" s="465"/>
      <c r="S55" s="465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73" t="s">
        <v>69</v>
      </c>
      <c r="E56" s="443"/>
      <c r="F56" s="443"/>
      <c r="G56" s="443"/>
      <c r="H56" s="443"/>
      <c r="I56" s="291" t="s">
        <v>134</v>
      </c>
      <c r="J56" s="283"/>
      <c r="K56" s="40"/>
      <c r="L56" s="1"/>
      <c r="M56" s="464" t="s">
        <v>439</v>
      </c>
      <c r="N56" s="465"/>
      <c r="O56" s="465"/>
      <c r="P56" s="465"/>
      <c r="Q56" s="465"/>
      <c r="R56" s="465"/>
      <c r="S56" s="465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74" t="s">
        <v>174</v>
      </c>
      <c r="E57" s="475"/>
      <c r="F57" s="475"/>
      <c r="G57" s="475"/>
      <c r="H57" s="475"/>
      <c r="I57" s="45" t="s">
        <v>134</v>
      </c>
      <c r="J57" s="46"/>
      <c r="K57" s="47"/>
      <c r="M57" s="466"/>
      <c r="N57" s="467"/>
      <c r="O57" s="467"/>
      <c r="P57" s="467"/>
      <c r="Q57" s="467"/>
      <c r="R57" s="467"/>
      <c r="S57" s="467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B1:U1"/>
    <mergeCell ref="D2:F2"/>
    <mergeCell ref="D9:H9"/>
    <mergeCell ref="D10:H10"/>
    <mergeCell ref="D11:H11"/>
    <mergeCell ref="O9:S9"/>
    <mergeCell ref="O10:S10"/>
    <mergeCell ref="O11:S11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D53:H53"/>
    <mergeCell ref="D54:H54"/>
    <mergeCell ref="D55:H55"/>
    <mergeCell ref="D56:H56"/>
    <mergeCell ref="D57:H57"/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1" t="s">
        <v>0</v>
      </c>
      <c r="B2" s="493"/>
      <c r="C2" s="533"/>
      <c r="D2" s="493"/>
      <c r="E2" s="534" t="s">
        <v>1</v>
      </c>
      <c r="F2" s="535"/>
      <c r="G2" s="535"/>
      <c r="H2" s="535"/>
      <c r="I2" s="535"/>
      <c r="J2" s="493"/>
      <c r="K2" s="424" t="s">
        <v>180</v>
      </c>
      <c r="L2" s="493"/>
      <c r="M2" s="533"/>
      <c r="N2" s="503"/>
    </row>
    <row r="3" spans="1:14" ht="27.75" customHeight="1">
      <c r="A3" s="532" t="s">
        <v>181</v>
      </c>
      <c r="B3" s="490"/>
      <c r="C3" s="490"/>
      <c r="D3" s="490"/>
      <c r="E3" s="490"/>
      <c r="F3" s="490"/>
      <c r="G3" s="490"/>
      <c r="H3" s="490"/>
      <c r="I3" s="486"/>
      <c r="J3" s="485" t="s">
        <v>4</v>
      </c>
      <c r="K3" s="490"/>
      <c r="L3" s="490"/>
      <c r="M3" s="490"/>
      <c r="N3" s="494"/>
    </row>
    <row r="4" spans="1:14" ht="24.75" customHeight="1">
      <c r="A4" s="518" t="s">
        <v>3</v>
      </c>
      <c r="B4" s="486"/>
      <c r="C4" s="485"/>
      <c r="D4" s="490"/>
      <c r="E4" s="490"/>
      <c r="F4" s="490"/>
      <c r="G4" s="490"/>
      <c r="H4" s="490"/>
      <c r="I4" s="486"/>
      <c r="J4" s="513" t="s">
        <v>7</v>
      </c>
      <c r="K4" s="486"/>
      <c r="L4" s="485" t="s">
        <v>182</v>
      </c>
      <c r="M4" s="490"/>
      <c r="N4" s="494"/>
    </row>
    <row r="5" spans="1:14" ht="24.75" customHeight="1">
      <c r="A5" s="536" t="s">
        <v>11</v>
      </c>
      <c r="B5" s="488"/>
      <c r="C5" s="487"/>
      <c r="D5" s="499"/>
      <c r="E5" s="499"/>
      <c r="F5" s="499"/>
      <c r="G5" s="499"/>
      <c r="H5" s="499"/>
      <c r="I5" s="499"/>
      <c r="J5" s="512" t="s">
        <v>178</v>
      </c>
      <c r="K5" s="488"/>
      <c r="L5" s="487" t="s">
        <v>183</v>
      </c>
      <c r="M5" s="499"/>
      <c r="N5" s="495"/>
    </row>
    <row r="6" spans="1:14" ht="15" customHeight="1">
      <c r="A6" s="442"/>
      <c r="B6" s="443"/>
      <c r="C6" s="443"/>
      <c r="D6" s="443"/>
      <c r="E6" s="443"/>
      <c r="F6" s="443"/>
      <c r="G6" s="443"/>
      <c r="H6" s="443"/>
      <c r="I6" s="443"/>
      <c r="J6" s="443"/>
      <c r="K6" s="443"/>
      <c r="L6" s="443"/>
      <c r="M6" s="443"/>
      <c r="N6" s="443"/>
    </row>
    <row r="7" spans="1:14" ht="27.75" customHeight="1">
      <c r="A7" s="537" t="s">
        <v>20</v>
      </c>
      <c r="B7" s="538"/>
      <c r="C7" s="538"/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31.5" customHeight="1">
      <c r="A8" s="531" t="s">
        <v>23</v>
      </c>
      <c r="B8" s="493"/>
      <c r="C8" s="539"/>
      <c r="D8" s="535"/>
      <c r="E8" s="57" t="s">
        <v>24</v>
      </c>
      <c r="F8" s="540"/>
      <c r="G8" s="541"/>
      <c r="H8" s="544"/>
      <c r="I8" s="545"/>
      <c r="J8" s="548" t="s">
        <v>25</v>
      </c>
      <c r="K8" s="493"/>
      <c r="L8" s="539"/>
      <c r="M8" s="535"/>
      <c r="N8" s="58"/>
    </row>
    <row r="9" spans="1:14" ht="31.5" customHeight="1">
      <c r="A9" s="518" t="s">
        <v>28</v>
      </c>
      <c r="B9" s="486"/>
      <c r="C9" s="485"/>
      <c r="D9" s="486"/>
      <c r="E9" s="59" t="s">
        <v>24</v>
      </c>
      <c r="F9" s="524"/>
      <c r="G9" s="525"/>
      <c r="H9" s="529"/>
      <c r="I9" s="516"/>
      <c r="J9" s="506" t="s">
        <v>29</v>
      </c>
      <c r="K9" s="505"/>
      <c r="L9" s="485"/>
      <c r="M9" s="490"/>
      <c r="N9" s="60" t="s">
        <v>30</v>
      </c>
    </row>
    <row r="10" spans="1:14" ht="31.5" customHeight="1">
      <c r="A10" s="518" t="s">
        <v>184</v>
      </c>
      <c r="B10" s="486"/>
      <c r="C10" s="511"/>
      <c r="D10" s="490"/>
      <c r="E10" s="59" t="s">
        <v>185</v>
      </c>
      <c r="F10" s="542"/>
      <c r="G10" s="543"/>
      <c r="H10" s="546"/>
      <c r="I10" s="547"/>
      <c r="J10" s="506" t="s">
        <v>34</v>
      </c>
      <c r="K10" s="505"/>
      <c r="L10" s="485"/>
      <c r="M10" s="490"/>
      <c r="N10" s="60" t="s">
        <v>24</v>
      </c>
    </row>
    <row r="11" spans="1:14" ht="31.5" customHeight="1">
      <c r="A11" s="518" t="s">
        <v>36</v>
      </c>
      <c r="B11" s="486"/>
      <c r="C11" s="511"/>
      <c r="D11" s="490"/>
      <c r="E11" s="486"/>
      <c r="F11" s="522"/>
      <c r="G11" s="523"/>
      <c r="H11" s="527"/>
      <c r="I11" s="528"/>
      <c r="J11" s="506" t="s">
        <v>37</v>
      </c>
      <c r="K11" s="505"/>
      <c r="L11" s="511"/>
      <c r="M11" s="490"/>
      <c r="N11" s="494"/>
    </row>
    <row r="12" spans="1:14" ht="31.5" customHeight="1">
      <c r="A12" s="518" t="s">
        <v>39</v>
      </c>
      <c r="B12" s="486"/>
      <c r="C12" s="511"/>
      <c r="D12" s="486"/>
      <c r="E12" s="62" t="s">
        <v>24</v>
      </c>
      <c r="F12" s="524"/>
      <c r="G12" s="525"/>
      <c r="H12" s="529"/>
      <c r="I12" s="516"/>
      <c r="J12" s="517" t="s">
        <v>40</v>
      </c>
      <c r="K12" s="486"/>
      <c r="L12" s="519"/>
      <c r="M12" s="490"/>
      <c r="N12" s="494"/>
    </row>
    <row r="13" spans="1:14" ht="31.5" customHeight="1">
      <c r="A13" s="518" t="s">
        <v>43</v>
      </c>
      <c r="B13" s="486"/>
      <c r="C13" s="485"/>
      <c r="D13" s="490"/>
      <c r="E13" s="486"/>
      <c r="F13" s="502"/>
      <c r="G13" s="526"/>
      <c r="H13" s="530"/>
      <c r="I13" s="521"/>
      <c r="J13" s="517" t="s">
        <v>44</v>
      </c>
      <c r="K13" s="486"/>
      <c r="L13" s="511"/>
      <c r="M13" s="490"/>
      <c r="N13" s="494"/>
    </row>
    <row r="14" spans="1:14" ht="31.5" customHeight="1">
      <c r="A14" s="518" t="s">
        <v>47</v>
      </c>
      <c r="B14" s="486"/>
      <c r="C14" s="519" t="s">
        <v>186</v>
      </c>
      <c r="D14" s="490"/>
      <c r="E14" s="486"/>
      <c r="F14" s="10" t="s">
        <v>48</v>
      </c>
      <c r="G14" s="520"/>
      <c r="H14" s="475"/>
      <c r="I14" s="521"/>
      <c r="J14" s="513" t="s">
        <v>49</v>
      </c>
      <c r="K14" s="486"/>
      <c r="L14" s="511"/>
      <c r="M14" s="490"/>
      <c r="N14" s="60" t="s">
        <v>50</v>
      </c>
    </row>
    <row r="15" spans="1:14" ht="31.5" customHeight="1">
      <c r="A15" s="518" t="s">
        <v>53</v>
      </c>
      <c r="B15" s="486"/>
      <c r="C15" s="511"/>
      <c r="D15" s="490"/>
      <c r="E15" s="11" t="s">
        <v>54</v>
      </c>
      <c r="F15" s="11" t="s">
        <v>55</v>
      </c>
      <c r="G15" s="485"/>
      <c r="H15" s="490"/>
      <c r="I15" s="486"/>
      <c r="J15" s="517" t="s">
        <v>56</v>
      </c>
      <c r="K15" s="486"/>
      <c r="L15" s="511"/>
      <c r="M15" s="490"/>
      <c r="N15" s="60" t="s">
        <v>50</v>
      </c>
    </row>
    <row r="16" spans="1:14" ht="31.5" customHeight="1">
      <c r="A16" s="518" t="s">
        <v>187</v>
      </c>
      <c r="B16" s="486"/>
      <c r="C16" s="485"/>
      <c r="D16" s="490"/>
      <c r="E16" s="11" t="s">
        <v>54</v>
      </c>
      <c r="F16" s="11" t="s">
        <v>60</v>
      </c>
      <c r="G16" s="485"/>
      <c r="H16" s="490"/>
      <c r="I16" s="486"/>
      <c r="J16" s="513" t="s">
        <v>61</v>
      </c>
      <c r="K16" s="490"/>
      <c r="L16" s="490"/>
      <c r="M16" s="490"/>
      <c r="N16" s="494"/>
    </row>
    <row r="17" spans="1:14" ht="31.5" customHeight="1">
      <c r="A17" s="518" t="s">
        <v>59</v>
      </c>
      <c r="B17" s="486"/>
      <c r="C17" s="485"/>
      <c r="D17" s="490"/>
      <c r="E17" s="11" t="s">
        <v>54</v>
      </c>
      <c r="F17" s="11" t="s">
        <v>62</v>
      </c>
      <c r="G17" s="485"/>
      <c r="H17" s="490"/>
      <c r="I17" s="486"/>
      <c r="J17" s="513" t="s">
        <v>188</v>
      </c>
      <c r="K17" s="486"/>
      <c r="L17" s="511"/>
      <c r="M17" s="490"/>
      <c r="N17" s="494"/>
    </row>
    <row r="18" spans="1:14" ht="31.5" customHeight="1">
      <c r="A18" s="536" t="s">
        <v>189</v>
      </c>
      <c r="B18" s="488"/>
      <c r="C18" s="514"/>
      <c r="D18" s="499"/>
      <c r="E18" s="63" t="s">
        <v>24</v>
      </c>
      <c r="F18" s="64" t="s">
        <v>63</v>
      </c>
      <c r="G18" s="487"/>
      <c r="H18" s="499"/>
      <c r="I18" s="488"/>
      <c r="J18" s="512" t="s">
        <v>190</v>
      </c>
      <c r="K18" s="488"/>
      <c r="L18" s="514"/>
      <c r="M18" s="499"/>
      <c r="N18" s="495"/>
    </row>
    <row r="19" spans="1:14" ht="31.5" customHeight="1">
      <c r="A19" s="549" t="s">
        <v>125</v>
      </c>
      <c r="B19" s="550"/>
      <c r="C19" s="389" t="s">
        <v>191</v>
      </c>
      <c r="D19" s="505"/>
      <c r="E19" s="504" t="s">
        <v>70</v>
      </c>
      <c r="F19" s="505"/>
      <c r="G19" s="65" t="s">
        <v>73</v>
      </c>
      <c r="H19" s="65" t="s">
        <v>75</v>
      </c>
      <c r="I19" s="389" t="s">
        <v>192</v>
      </c>
      <c r="J19" s="505"/>
      <c r="K19" s="506" t="s">
        <v>193</v>
      </c>
      <c r="L19" s="507"/>
      <c r="M19" s="507"/>
      <c r="N19" s="508"/>
    </row>
    <row r="20" spans="1:14" ht="31.5" customHeight="1">
      <c r="A20" s="551"/>
      <c r="B20" s="496"/>
      <c r="C20" s="487"/>
      <c r="D20" s="488"/>
      <c r="E20" s="6"/>
      <c r="F20" s="64"/>
      <c r="G20" s="5"/>
      <c r="H20" s="64"/>
      <c r="I20" s="487"/>
      <c r="J20" s="488"/>
      <c r="K20" s="509" t="s">
        <v>194</v>
      </c>
      <c r="L20" s="488"/>
      <c r="M20" s="510" t="s">
        <v>195</v>
      </c>
      <c r="N20" s="495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92" t="s">
        <v>196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516"/>
    </row>
    <row r="23" spans="1:14" ht="45" customHeight="1">
      <c r="A23" s="339" t="s">
        <v>85</v>
      </c>
      <c r="B23" s="336" t="s">
        <v>197</v>
      </c>
      <c r="C23" s="336" t="s">
        <v>198</v>
      </c>
      <c r="D23" s="336" t="s">
        <v>199</v>
      </c>
      <c r="E23" s="336" t="s">
        <v>200</v>
      </c>
      <c r="F23" s="336" t="s">
        <v>201</v>
      </c>
      <c r="G23" s="336" t="s">
        <v>202</v>
      </c>
      <c r="H23" s="336" t="s">
        <v>90</v>
      </c>
      <c r="I23" s="400" t="s">
        <v>91</v>
      </c>
      <c r="J23" s="493"/>
      <c r="K23" s="336" t="s">
        <v>92</v>
      </c>
      <c r="L23" s="364" t="s">
        <v>93</v>
      </c>
      <c r="M23" s="501"/>
      <c r="N23" s="354" t="s">
        <v>94</v>
      </c>
    </row>
    <row r="24" spans="1:14" ht="45" customHeight="1">
      <c r="A24" s="515"/>
      <c r="B24" s="500"/>
      <c r="C24" s="500"/>
      <c r="D24" s="500"/>
      <c r="E24" s="500"/>
      <c r="F24" s="500"/>
      <c r="G24" s="500"/>
      <c r="H24" s="500"/>
      <c r="I24" s="14" t="s">
        <v>96</v>
      </c>
      <c r="J24" s="14" t="s">
        <v>97</v>
      </c>
      <c r="K24" s="500"/>
      <c r="L24" s="502"/>
      <c r="M24" s="475"/>
      <c r="N24" s="497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489"/>
      <c r="M25" s="490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489"/>
      <c r="M26" s="490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491"/>
      <c r="M27" s="490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491"/>
      <c r="M28" s="490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491"/>
      <c r="M29" s="490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491"/>
      <c r="M30" s="490"/>
      <c r="N30" s="16"/>
    </row>
    <row r="31" spans="1:14" ht="31.5" customHeight="1">
      <c r="A31" s="341" t="s">
        <v>106</v>
      </c>
      <c r="B31" s="496"/>
      <c r="C31" s="66"/>
      <c r="D31" s="66"/>
      <c r="E31" s="66"/>
      <c r="F31" s="66"/>
      <c r="G31" s="67"/>
      <c r="H31" s="67"/>
      <c r="I31" s="498"/>
      <c r="J31" s="488"/>
      <c r="K31" s="66"/>
      <c r="L31" s="498"/>
      <c r="M31" s="499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92" t="s">
        <v>109</v>
      </c>
      <c r="B33" s="443"/>
      <c r="C33" s="443"/>
      <c r="D33" s="443"/>
      <c r="E33" s="443"/>
      <c r="F33" s="443"/>
      <c r="G33" s="443"/>
      <c r="H33" s="443"/>
      <c r="I33" s="443"/>
      <c r="J33" s="443"/>
      <c r="K33" s="443"/>
      <c r="L33" s="443"/>
      <c r="M33" s="443"/>
      <c r="N33" s="443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400" t="s">
        <v>115</v>
      </c>
      <c r="G34" s="493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400" t="s">
        <v>115</v>
      </c>
      <c r="N34" s="503"/>
    </row>
    <row r="35" spans="1:14" ht="31.5" customHeight="1">
      <c r="A35" s="24">
        <v>1</v>
      </c>
      <c r="B35" s="68"/>
      <c r="C35" s="68"/>
      <c r="D35" s="68"/>
      <c r="E35" s="68"/>
      <c r="F35" s="485"/>
      <c r="G35" s="486"/>
      <c r="H35" s="25">
        <v>9</v>
      </c>
      <c r="I35" s="68"/>
      <c r="J35" s="68"/>
      <c r="K35" s="68"/>
      <c r="L35" s="68"/>
      <c r="M35" s="485"/>
      <c r="N35" s="494"/>
    </row>
    <row r="36" spans="1:14" ht="31.5" customHeight="1">
      <c r="A36" s="24">
        <v>2</v>
      </c>
      <c r="B36" s="68"/>
      <c r="C36" s="68"/>
      <c r="D36" s="68"/>
      <c r="E36" s="68"/>
      <c r="F36" s="485"/>
      <c r="G36" s="486"/>
      <c r="H36" s="25">
        <v>10</v>
      </c>
      <c r="I36" s="68"/>
      <c r="J36" s="68"/>
      <c r="K36" s="68"/>
      <c r="L36" s="68"/>
      <c r="M36" s="485"/>
      <c r="N36" s="494"/>
    </row>
    <row r="37" spans="1:14" ht="31.5" customHeight="1">
      <c r="A37" s="24">
        <v>3</v>
      </c>
      <c r="B37" s="68"/>
      <c r="C37" s="68"/>
      <c r="D37" s="68"/>
      <c r="E37" s="68"/>
      <c r="F37" s="485"/>
      <c r="G37" s="486"/>
      <c r="H37" s="25">
        <v>11</v>
      </c>
      <c r="I37" s="68"/>
      <c r="J37" s="68"/>
      <c r="K37" s="68"/>
      <c r="L37" s="68"/>
      <c r="M37" s="485"/>
      <c r="N37" s="494"/>
    </row>
    <row r="38" spans="1:14" ht="31.5" customHeight="1">
      <c r="A38" s="24">
        <v>4</v>
      </c>
      <c r="B38" s="68"/>
      <c r="C38" s="68"/>
      <c r="D38" s="68"/>
      <c r="E38" s="68"/>
      <c r="F38" s="485"/>
      <c r="G38" s="486"/>
      <c r="H38" s="25">
        <v>12</v>
      </c>
      <c r="I38" s="68"/>
      <c r="J38" s="68"/>
      <c r="K38" s="68"/>
      <c r="L38" s="68"/>
      <c r="M38" s="485"/>
      <c r="N38" s="494"/>
    </row>
    <row r="39" spans="1:14" ht="31.5" customHeight="1">
      <c r="A39" s="24">
        <v>5</v>
      </c>
      <c r="B39" s="68"/>
      <c r="C39" s="68"/>
      <c r="D39" s="68"/>
      <c r="E39" s="68"/>
      <c r="F39" s="485"/>
      <c r="G39" s="486"/>
      <c r="H39" s="25">
        <v>13</v>
      </c>
      <c r="I39" s="68"/>
      <c r="J39" s="68"/>
      <c r="K39" s="68"/>
      <c r="L39" s="68"/>
      <c r="M39" s="485"/>
      <c r="N39" s="494"/>
    </row>
    <row r="40" spans="1:14" ht="31.5" customHeight="1">
      <c r="A40" s="24">
        <v>6</v>
      </c>
      <c r="B40" s="68"/>
      <c r="C40" s="68"/>
      <c r="D40" s="68"/>
      <c r="E40" s="68"/>
      <c r="F40" s="485"/>
      <c r="G40" s="486"/>
      <c r="H40" s="25">
        <v>14</v>
      </c>
      <c r="I40" s="68"/>
      <c r="J40" s="68"/>
      <c r="K40" s="68"/>
      <c r="L40" s="68"/>
      <c r="M40" s="485"/>
      <c r="N40" s="494"/>
    </row>
    <row r="41" spans="1:14" ht="31.5" customHeight="1">
      <c r="A41" s="24">
        <v>7</v>
      </c>
      <c r="B41" s="68"/>
      <c r="C41" s="68"/>
      <c r="D41" s="68"/>
      <c r="E41" s="68"/>
      <c r="F41" s="485"/>
      <c r="G41" s="486"/>
      <c r="H41" s="25">
        <v>15</v>
      </c>
      <c r="I41" s="68"/>
      <c r="J41" s="68"/>
      <c r="K41" s="68"/>
      <c r="L41" s="68"/>
      <c r="M41" s="485"/>
      <c r="N41" s="494"/>
    </row>
    <row r="42" spans="1:14" ht="31.5" customHeight="1">
      <c r="A42" s="69">
        <v>8</v>
      </c>
      <c r="B42" s="70"/>
      <c r="C42" s="70"/>
      <c r="D42" s="70"/>
      <c r="E42" s="70"/>
      <c r="F42" s="487"/>
      <c r="G42" s="488"/>
      <c r="H42" s="71">
        <v>16</v>
      </c>
      <c r="I42" s="70"/>
      <c r="J42" s="70"/>
      <c r="K42" s="70"/>
      <c r="L42" s="70"/>
      <c r="M42" s="487"/>
      <c r="N42" s="495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52" t="s">
        <v>203</v>
      </c>
      <c r="B1" s="553"/>
      <c r="C1" s="553"/>
      <c r="D1" s="553"/>
      <c r="E1" s="553"/>
      <c r="F1" s="554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61" t="s">
        <v>217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67" t="s">
        <v>218</v>
      </c>
      <c r="T1" s="563" t="s">
        <v>219</v>
      </c>
      <c r="U1" s="535"/>
      <c r="V1" s="493"/>
      <c r="W1" s="563" t="s">
        <v>179</v>
      </c>
      <c r="X1" s="535"/>
      <c r="Y1" s="503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56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  <c r="R2" s="443"/>
      <c r="S2" s="524"/>
      <c r="T2" s="564"/>
      <c r="U2" s="443"/>
      <c r="V2" s="516"/>
      <c r="W2" s="564"/>
      <c r="X2" s="443"/>
      <c r="Y2" s="565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02"/>
      <c r="T3" s="502"/>
      <c r="U3" s="475"/>
      <c r="V3" s="521"/>
      <c r="W3" s="502"/>
      <c r="X3" s="475"/>
      <c r="Y3" s="566"/>
      <c r="Z3" s="29"/>
      <c r="AA3" s="29"/>
      <c r="AB3" s="29"/>
      <c r="AC3" s="29"/>
      <c r="AD3" s="29"/>
      <c r="AE3" s="98"/>
      <c r="AF3" s="606" t="s">
        <v>223</v>
      </c>
      <c r="AG3" s="443"/>
      <c r="AH3" s="443"/>
      <c r="AI3" s="607" t="s">
        <v>224</v>
      </c>
      <c r="AJ3" s="475"/>
      <c r="AK3" s="605" t="s">
        <v>225</v>
      </c>
      <c r="AL3" s="443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619"/>
      <c r="J4" s="620"/>
      <c r="K4" s="621"/>
      <c r="L4" s="619"/>
      <c r="M4" s="620"/>
      <c r="N4" s="621"/>
      <c r="O4" s="106" t="s">
        <v>228</v>
      </c>
      <c r="P4" s="105"/>
      <c r="Q4" s="105"/>
      <c r="R4" s="105"/>
      <c r="S4" s="629">
        <v>0.83</v>
      </c>
      <c r="T4" s="490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43"/>
      <c r="AG4" s="443"/>
      <c r="AH4" s="443"/>
      <c r="AI4" s="608" t="s">
        <v>229</v>
      </c>
      <c r="AJ4" s="477"/>
      <c r="AK4" s="443"/>
      <c r="AL4" s="443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622"/>
      <c r="J5" s="443"/>
      <c r="K5" s="623"/>
      <c r="L5" s="622"/>
      <c r="M5" s="443"/>
      <c r="N5" s="623"/>
      <c r="O5" s="110" t="s">
        <v>232</v>
      </c>
      <c r="P5" s="109"/>
      <c r="Q5" s="109"/>
      <c r="R5" s="109"/>
      <c r="S5" s="592">
        <v>23</v>
      </c>
      <c r="T5" s="490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624"/>
      <c r="J6" s="625"/>
      <c r="K6" s="626"/>
      <c r="L6" s="624"/>
      <c r="M6" s="625"/>
      <c r="N6" s="626"/>
      <c r="O6" s="110" t="s">
        <v>235</v>
      </c>
      <c r="P6" s="109"/>
      <c r="Q6" s="109"/>
      <c r="R6" s="109"/>
      <c r="S6" s="592">
        <v>760</v>
      </c>
      <c r="T6" s="490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593">
        <f>ROUND(8.03989/100000*(S4)^2*F9*((E24+273.15)*AH12*AH9)/((C24+273.15)*V7*AH10)*(1-E13/100)^2*(E8*10)^4,3)</f>
        <v>26.332999999999998</v>
      </c>
      <c r="D7" s="490"/>
      <c r="E7" s="109"/>
      <c r="F7" s="109"/>
      <c r="G7" s="109"/>
      <c r="H7" s="109"/>
      <c r="I7" s="619"/>
      <c r="J7" s="620"/>
      <c r="K7" s="621"/>
      <c r="L7" s="619"/>
      <c r="M7" s="620"/>
      <c r="N7" s="621"/>
      <c r="O7" s="110" t="s">
        <v>238</v>
      </c>
      <c r="P7" s="109"/>
      <c r="Q7" s="109"/>
      <c r="R7" s="109"/>
      <c r="S7" s="109"/>
      <c r="T7" s="109"/>
      <c r="U7" s="109"/>
      <c r="V7" s="609">
        <f>S6</f>
        <v>760</v>
      </c>
      <c r="W7" s="490"/>
      <c r="X7" s="490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594">
        <v>1.083</v>
      </c>
      <c r="F8" s="490"/>
      <c r="G8" s="109"/>
      <c r="H8" s="109"/>
      <c r="I8" s="622"/>
      <c r="J8" s="443"/>
      <c r="K8" s="623"/>
      <c r="L8" s="622"/>
      <c r="M8" s="443"/>
      <c r="N8" s="623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573">
        <v>42.4</v>
      </c>
      <c r="G9" s="490"/>
      <c r="H9" s="109"/>
      <c r="I9" s="624"/>
      <c r="J9" s="625"/>
      <c r="K9" s="626"/>
      <c r="L9" s="624"/>
      <c r="M9" s="625"/>
      <c r="N9" s="626"/>
      <c r="O9" s="627" t="s">
        <v>244</v>
      </c>
      <c r="P9" s="490"/>
      <c r="Q9" s="490"/>
      <c r="R9" s="490"/>
      <c r="S9" s="490"/>
      <c r="T9" s="628">
        <v>1</v>
      </c>
      <c r="U9" s="486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92">
        <v>20.9</v>
      </c>
      <c r="F10" s="490"/>
      <c r="G10" s="109"/>
      <c r="H10" s="120"/>
      <c r="I10" s="121" t="s">
        <v>247</v>
      </c>
      <c r="J10" s="105"/>
      <c r="K10" s="611">
        <f>CHOOSE(AA14,ROUND(측정점!I6,3)*100,ROUND(측정점!I8,3)*100,ROUND(측정점!I10,3)*100,ROUND(측정점!I12,3)*100,ROUND(측정점!I14,3)*100)</f>
        <v>31.3</v>
      </c>
      <c r="L10" s="612"/>
      <c r="M10" s="612"/>
      <c r="N10" s="122" t="s">
        <v>248</v>
      </c>
      <c r="O10" s="598" t="s">
        <v>249</v>
      </c>
      <c r="P10" s="490"/>
      <c r="Q10" s="490"/>
      <c r="R10" s="490"/>
      <c r="S10" s="490"/>
      <c r="T10" s="490"/>
      <c r="U10" s="486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92">
        <v>0</v>
      </c>
      <c r="E11" s="490"/>
      <c r="F11" s="109"/>
      <c r="G11" s="109"/>
      <c r="H11" s="120"/>
      <c r="I11" s="124" t="s">
        <v>252</v>
      </c>
      <c r="J11" s="109"/>
      <c r="K11" s="571">
        <f>CHOOSE(AA14,"",ROUND(측정점!L8,3)*100,ROUND(측정점!L10,3)*100,ROUND(측정점!L12,3)*100,ROUND(측정점!L14,3)*100)</f>
        <v>8.4</v>
      </c>
      <c r="L11" s="490"/>
      <c r="M11" s="490"/>
      <c r="N11" s="126" t="s">
        <v>248</v>
      </c>
      <c r="O11" s="572" t="s">
        <v>253</v>
      </c>
      <c r="P11" s="490"/>
      <c r="Q11" s="486"/>
      <c r="R11" s="610" t="s">
        <v>254</v>
      </c>
      <c r="S11" s="507"/>
      <c r="T11" s="507"/>
      <c r="U11" s="505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575">
        <f>계산식!R34</f>
        <v>98.187978413528313</v>
      </c>
      <c r="G12" s="490"/>
      <c r="H12" s="131"/>
      <c r="I12" s="124" t="s">
        <v>258</v>
      </c>
      <c r="J12" s="109"/>
      <c r="K12" s="571" t="str">
        <f>CHOOSE(AA14,"","",ROUND(측정점!O10,3)*100,ROUND(측정점!O12,3)*100,ROUND(측정점!O14,3)*100)</f>
        <v/>
      </c>
      <c r="L12" s="490"/>
      <c r="M12" s="490"/>
      <c r="N12" s="126" t="s">
        <v>248</v>
      </c>
      <c r="O12" s="572" t="s">
        <v>259</v>
      </c>
      <c r="P12" s="490"/>
      <c r="Q12" s="486"/>
      <c r="R12" s="573" t="s">
        <v>260</v>
      </c>
      <c r="S12" s="490"/>
      <c r="T12" s="490"/>
      <c r="U12" s="486"/>
      <c r="V12" s="598" t="s">
        <v>261</v>
      </c>
      <c r="W12" s="490"/>
      <c r="X12" s="490"/>
      <c r="Y12" s="494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82"/>
      <c r="AL12" s="443"/>
      <c r="AM12" s="443"/>
      <c r="AN12" s="443"/>
      <c r="AO12" s="443"/>
      <c r="AP12" s="443"/>
      <c r="AQ12" s="443"/>
      <c r="AR12" s="565"/>
    </row>
    <row r="13" spans="1:44" ht="27" customHeight="1">
      <c r="A13" s="108" t="s">
        <v>262</v>
      </c>
      <c r="B13" s="109"/>
      <c r="C13" s="109"/>
      <c r="D13" s="109"/>
      <c r="E13" s="574">
        <f>계산식!R1</f>
        <v>1.0496607777805389</v>
      </c>
      <c r="F13" s="490"/>
      <c r="G13" s="109"/>
      <c r="H13" s="109"/>
      <c r="I13" s="124" t="s">
        <v>263</v>
      </c>
      <c r="J13" s="109"/>
      <c r="K13" s="571" t="str">
        <f>CHOOSE(AA14,"","","",ROUND(측정점!R12,3)*100,ROUND(측정점!R14,3)*100)</f>
        <v/>
      </c>
      <c r="L13" s="490"/>
      <c r="M13" s="490"/>
      <c r="N13" s="126" t="s">
        <v>248</v>
      </c>
      <c r="O13" s="124" t="s">
        <v>264</v>
      </c>
      <c r="P13" s="109"/>
      <c r="Q13" s="109"/>
      <c r="R13" s="571" t="s">
        <v>265</v>
      </c>
      <c r="S13" s="490"/>
      <c r="T13" s="490"/>
      <c r="U13" s="486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559" t="s">
        <v>267</v>
      </c>
      <c r="B14" s="499"/>
      <c r="C14" s="499"/>
      <c r="D14" s="135"/>
      <c r="E14" s="136"/>
      <c r="F14" s="136"/>
      <c r="G14" s="102"/>
      <c r="H14" s="102"/>
      <c r="I14" s="121" t="s">
        <v>268</v>
      </c>
      <c r="J14" s="105"/>
      <c r="K14" s="630" t="str">
        <f>CHOOSE(AA14,"","","","",ROUND(측정점!U14,3)*100)</f>
        <v/>
      </c>
      <c r="L14" s="499"/>
      <c r="M14" s="499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569" t="s">
        <v>271</v>
      </c>
      <c r="B15" s="535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5"/>
      <c r="X15" s="535"/>
      <c r="Y15" s="503"/>
      <c r="Z15" s="1" t="s">
        <v>272</v>
      </c>
      <c r="AA15" s="1"/>
      <c r="AB15" s="1"/>
      <c r="AC15" s="1"/>
      <c r="AD15" s="1"/>
      <c r="AE15" s="605" t="s">
        <v>273</v>
      </c>
      <c r="AF15" s="443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557" t="s">
        <v>274</v>
      </c>
      <c r="B16" s="516"/>
      <c r="C16" s="570" t="s">
        <v>275</v>
      </c>
      <c r="D16" s="516"/>
      <c r="E16" s="595" t="s">
        <v>276</v>
      </c>
      <c r="F16" s="475"/>
      <c r="G16" s="475"/>
      <c r="H16" s="521"/>
      <c r="I16" s="570" t="s">
        <v>277</v>
      </c>
      <c r="J16" s="516"/>
      <c r="K16" s="570" t="s">
        <v>278</v>
      </c>
      <c r="L16" s="516"/>
      <c r="M16" s="602" t="s">
        <v>279</v>
      </c>
      <c r="N16" s="516"/>
      <c r="O16" s="570" t="s">
        <v>280</v>
      </c>
      <c r="P16" s="516"/>
      <c r="Q16" s="570" t="s">
        <v>281</v>
      </c>
      <c r="R16" s="516"/>
      <c r="S16" s="570" t="s">
        <v>282</v>
      </c>
      <c r="T16" s="516"/>
      <c r="U16" s="617" t="s">
        <v>283</v>
      </c>
      <c r="V16" s="477"/>
      <c r="W16" s="588"/>
      <c r="X16" s="618"/>
      <c r="Y16" s="565"/>
      <c r="Z16" s="603" t="s">
        <v>284</v>
      </c>
      <c r="AA16" s="443"/>
      <c r="AB16" s="443"/>
      <c r="AC16" s="1"/>
      <c r="AD16" s="1"/>
      <c r="AE16" s="443"/>
      <c r="AF16" s="443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558"/>
      <c r="B17" s="521"/>
      <c r="C17" s="502"/>
      <c r="D17" s="521"/>
      <c r="E17" s="579" t="s">
        <v>96</v>
      </c>
      <c r="F17" s="486"/>
      <c r="G17" s="579" t="s">
        <v>97</v>
      </c>
      <c r="H17" s="486"/>
      <c r="I17" s="502"/>
      <c r="J17" s="521"/>
      <c r="K17" s="502"/>
      <c r="L17" s="521"/>
      <c r="M17" s="502"/>
      <c r="N17" s="521"/>
      <c r="O17" s="502"/>
      <c r="P17" s="521"/>
      <c r="Q17" s="502"/>
      <c r="R17" s="521"/>
      <c r="S17" s="502"/>
      <c r="T17" s="521"/>
      <c r="U17" s="502"/>
      <c r="V17" s="475"/>
      <c r="W17" s="521"/>
      <c r="X17" s="502"/>
      <c r="Y17" s="566"/>
      <c r="Z17" s="562"/>
      <c r="AA17" s="443"/>
      <c r="AB17" s="443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560" t="s">
        <v>286</v>
      </c>
      <c r="B18" s="486"/>
      <c r="C18" s="568">
        <v>79</v>
      </c>
      <c r="D18" s="486"/>
      <c r="E18" s="568">
        <v>18</v>
      </c>
      <c r="F18" s="486"/>
      <c r="G18" s="568">
        <v>18</v>
      </c>
      <c r="H18" s="486"/>
      <c r="I18" s="568">
        <v>1</v>
      </c>
      <c r="J18" s="486"/>
      <c r="K18" s="568">
        <v>0.4</v>
      </c>
      <c r="L18" s="486"/>
      <c r="M18" s="586">
        <f>AE23*K18</f>
        <v>10.5036</v>
      </c>
      <c r="N18" s="486"/>
      <c r="O18" s="568">
        <v>203</v>
      </c>
      <c r="P18" s="486"/>
      <c r="Q18" s="568">
        <v>20</v>
      </c>
      <c r="R18" s="486"/>
      <c r="S18" s="568">
        <v>18</v>
      </c>
      <c r="T18" s="486"/>
      <c r="U18" s="604">
        <v>2.8</v>
      </c>
      <c r="V18" s="490"/>
      <c r="W18" s="486"/>
      <c r="X18" s="604"/>
      <c r="Y18" s="494"/>
      <c r="Z18" s="562"/>
      <c r="AA18" s="443"/>
      <c r="AB18" s="443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560" t="s">
        <v>287</v>
      </c>
      <c r="B19" s="486"/>
      <c r="C19" s="579">
        <v>77</v>
      </c>
      <c r="D19" s="486"/>
      <c r="E19" s="579">
        <v>18</v>
      </c>
      <c r="F19" s="486"/>
      <c r="G19" s="579">
        <v>18</v>
      </c>
      <c r="H19" s="486"/>
      <c r="I19" s="579">
        <v>1.2</v>
      </c>
      <c r="J19" s="486"/>
      <c r="K19" s="579">
        <v>0.4</v>
      </c>
      <c r="L19" s="486"/>
      <c r="M19" s="578">
        <f>AF23*K19</f>
        <v>10.563600000000001</v>
      </c>
      <c r="N19" s="486"/>
      <c r="O19" s="579">
        <v>206</v>
      </c>
      <c r="P19" s="486"/>
      <c r="Q19" s="579">
        <v>20</v>
      </c>
      <c r="R19" s="486"/>
      <c r="S19" s="579">
        <v>18</v>
      </c>
      <c r="T19" s="486"/>
      <c r="U19" s="616">
        <v>2.8</v>
      </c>
      <c r="V19" s="490"/>
      <c r="W19" s="486"/>
      <c r="X19" s="616"/>
      <c r="Y19" s="494"/>
      <c r="Z19" s="562"/>
      <c r="AA19" s="443"/>
      <c r="AB19" s="443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560" t="s">
        <v>289</v>
      </c>
      <c r="B20" s="486"/>
      <c r="C20" s="579"/>
      <c r="D20" s="486"/>
      <c r="E20" s="579"/>
      <c r="F20" s="486"/>
      <c r="G20" s="579"/>
      <c r="H20" s="486"/>
      <c r="I20" s="579"/>
      <c r="J20" s="486"/>
      <c r="K20" s="579"/>
      <c r="L20" s="486"/>
      <c r="M20" s="578">
        <f>AG23*K20</f>
        <v>0</v>
      </c>
      <c r="N20" s="486"/>
      <c r="O20" s="579"/>
      <c r="P20" s="486"/>
      <c r="Q20" s="579"/>
      <c r="R20" s="486"/>
      <c r="S20" s="579"/>
      <c r="T20" s="486"/>
      <c r="U20" s="616"/>
      <c r="V20" s="490"/>
      <c r="W20" s="486"/>
      <c r="X20" s="616"/>
      <c r="Y20" s="486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560" t="s">
        <v>291</v>
      </c>
      <c r="B21" s="486"/>
      <c r="C21" s="579"/>
      <c r="D21" s="486"/>
      <c r="E21" s="579"/>
      <c r="F21" s="486"/>
      <c r="G21" s="579"/>
      <c r="H21" s="486"/>
      <c r="I21" s="579"/>
      <c r="J21" s="486"/>
      <c r="K21" s="579"/>
      <c r="L21" s="486"/>
      <c r="M21" s="578">
        <f>AH23*K21</f>
        <v>0</v>
      </c>
      <c r="N21" s="486"/>
      <c r="O21" s="579"/>
      <c r="P21" s="486"/>
      <c r="Q21" s="579"/>
      <c r="R21" s="486"/>
      <c r="S21" s="579"/>
      <c r="T21" s="486"/>
      <c r="U21" s="616"/>
      <c r="V21" s="490"/>
      <c r="W21" s="486"/>
      <c r="X21" s="616"/>
      <c r="Y21" s="486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60" t="s">
        <v>293</v>
      </c>
      <c r="B22" s="486"/>
      <c r="C22" s="579"/>
      <c r="D22" s="486"/>
      <c r="E22" s="579"/>
      <c r="F22" s="486"/>
      <c r="G22" s="579"/>
      <c r="H22" s="486"/>
      <c r="I22" s="579"/>
      <c r="J22" s="486"/>
      <c r="K22" s="579"/>
      <c r="L22" s="486"/>
      <c r="M22" s="578">
        <f>AI23*K22</f>
        <v>0</v>
      </c>
      <c r="N22" s="486"/>
      <c r="O22" s="579"/>
      <c r="P22" s="486"/>
      <c r="Q22" s="579"/>
      <c r="R22" s="486"/>
      <c r="S22" s="579"/>
      <c r="T22" s="486"/>
      <c r="U22" s="616"/>
      <c r="V22" s="490"/>
      <c r="W22" s="486"/>
      <c r="X22" s="616"/>
      <c r="Y22" s="494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60" t="s">
        <v>104</v>
      </c>
      <c r="B23" s="486"/>
      <c r="C23" s="596"/>
      <c r="D23" s="486"/>
      <c r="E23" s="586">
        <f>AVERAGE(E18:F22)</f>
        <v>18</v>
      </c>
      <c r="F23" s="486"/>
      <c r="G23" s="586">
        <f>AVERAGE(G18:H22)</f>
        <v>18</v>
      </c>
      <c r="H23" s="486"/>
      <c r="I23" s="596"/>
      <c r="J23" s="486"/>
      <c r="K23" s="596"/>
      <c r="L23" s="486"/>
      <c r="M23" s="586"/>
      <c r="N23" s="486"/>
      <c r="O23" s="596">
        <f>SUM(O18:P22)</f>
        <v>409</v>
      </c>
      <c r="P23" s="486"/>
      <c r="Q23" s="596">
        <f>SUM(Q18:R22)</f>
        <v>40</v>
      </c>
      <c r="R23" s="486"/>
      <c r="S23" s="596"/>
      <c r="T23" s="486"/>
      <c r="U23" s="615"/>
      <c r="V23" s="490"/>
      <c r="W23" s="486"/>
      <c r="X23" s="616"/>
      <c r="Y23" s="494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76" t="s">
        <v>106</v>
      </c>
      <c r="B24" s="488"/>
      <c r="C24" s="556">
        <f>AVERAGE(C18:D22)</f>
        <v>78</v>
      </c>
      <c r="D24" s="488"/>
      <c r="E24" s="584">
        <f>AVERAGE(E23:H23)</f>
        <v>18</v>
      </c>
      <c r="F24" s="499"/>
      <c r="G24" s="499"/>
      <c r="H24" s="488"/>
      <c r="I24" s="556">
        <f>AVERAGE(I18:J22)</f>
        <v>1.1000000000000001</v>
      </c>
      <c r="J24" s="488"/>
      <c r="K24" s="556">
        <f>AVERAGE(K18:L22)</f>
        <v>0.4</v>
      </c>
      <c r="L24" s="488"/>
      <c r="M24" s="584">
        <f>(SUM(M18:N22))/AA14</f>
        <v>10.5336</v>
      </c>
      <c r="N24" s="488"/>
      <c r="O24" s="556"/>
      <c r="P24" s="488"/>
      <c r="Q24" s="556"/>
      <c r="R24" s="488"/>
      <c r="S24" s="556">
        <f>AVERAGE(S18:T22)</f>
        <v>18</v>
      </c>
      <c r="T24" s="488"/>
      <c r="U24" s="613"/>
      <c r="V24" s="499"/>
      <c r="W24" s="488"/>
      <c r="X24" s="614"/>
      <c r="Y24" s="495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0" t="s">
        <v>301</v>
      </c>
      <c r="AF25" s="599" t="s">
        <v>302</v>
      </c>
      <c r="AG25" s="554"/>
      <c r="AH25" s="1"/>
      <c r="AI25" s="149"/>
      <c r="AJ25" s="149"/>
      <c r="AK25" s="1"/>
      <c r="AL25" s="1"/>
    </row>
    <row r="26" spans="1:44" ht="39.75" customHeight="1">
      <c r="A26" s="577" t="s">
        <v>112</v>
      </c>
      <c r="B26" s="475"/>
      <c r="C26" s="475"/>
      <c r="D26" s="521"/>
      <c r="E26" s="583" t="s">
        <v>70</v>
      </c>
      <c r="F26" s="475"/>
      <c r="G26" s="475"/>
      <c r="H26" s="521"/>
      <c r="I26" s="583" t="s">
        <v>73</v>
      </c>
      <c r="J26" s="521"/>
      <c r="K26" s="583" t="s">
        <v>75</v>
      </c>
      <c r="L26" s="521"/>
      <c r="M26" s="582" t="s">
        <v>303</v>
      </c>
      <c r="N26" s="475"/>
      <c r="O26" s="475"/>
      <c r="P26" s="521"/>
      <c r="Q26" s="583" t="s">
        <v>304</v>
      </c>
      <c r="R26" s="475"/>
      <c r="S26" s="475"/>
      <c r="T26" s="521"/>
      <c r="U26" s="555" t="s">
        <v>305</v>
      </c>
      <c r="V26" s="490"/>
      <c r="W26" s="490"/>
      <c r="X26" s="490"/>
      <c r="Y26" s="494"/>
      <c r="AD26" s="154"/>
      <c r="AE26" s="601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576">
        <v>1</v>
      </c>
      <c r="B27" s="499"/>
      <c r="C27" s="499"/>
      <c r="D27" s="488"/>
      <c r="E27" s="585">
        <v>2.9</v>
      </c>
      <c r="F27" s="499"/>
      <c r="G27" s="499"/>
      <c r="H27" s="488"/>
      <c r="I27" s="580">
        <v>19</v>
      </c>
      <c r="J27" s="488"/>
      <c r="K27" s="580">
        <v>19</v>
      </c>
      <c r="L27" s="488"/>
      <c r="M27" s="580">
        <v>10</v>
      </c>
      <c r="N27" s="499"/>
      <c r="O27" s="499"/>
      <c r="P27" s="488"/>
      <c r="Q27" s="581">
        <f>계산식!N7</f>
        <v>223.61</v>
      </c>
      <c r="R27" s="499"/>
      <c r="S27" s="499"/>
      <c r="T27" s="488"/>
      <c r="U27" s="597">
        <f>계산식!L7</f>
        <v>223.69</v>
      </c>
      <c r="V27" s="499"/>
      <c r="W27" s="499"/>
      <c r="X27" s="499"/>
      <c r="Y27" s="495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582" t="s">
        <v>312</v>
      </c>
      <c r="C29" s="475"/>
      <c r="D29" s="521"/>
      <c r="E29" s="583" t="s">
        <v>112</v>
      </c>
      <c r="F29" s="475"/>
      <c r="G29" s="475"/>
      <c r="H29" s="521"/>
      <c r="I29" s="583" t="s">
        <v>70</v>
      </c>
      <c r="J29" s="475"/>
      <c r="K29" s="475"/>
      <c r="L29" s="521"/>
      <c r="M29" s="583" t="s">
        <v>73</v>
      </c>
      <c r="N29" s="521"/>
      <c r="O29" s="583" t="s">
        <v>75</v>
      </c>
      <c r="P29" s="521"/>
      <c r="Q29" s="582" t="s">
        <v>303</v>
      </c>
      <c r="R29" s="475"/>
      <c r="S29" s="475"/>
      <c r="T29" s="521"/>
      <c r="U29" s="598" t="s">
        <v>313</v>
      </c>
      <c r="V29" s="490"/>
      <c r="W29" s="490"/>
      <c r="X29" s="490"/>
      <c r="Y29" s="494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79" t="s">
        <v>124</v>
      </c>
      <c r="C30" s="490"/>
      <c r="D30" s="486"/>
      <c r="E30" s="579"/>
      <c r="F30" s="490"/>
      <c r="G30" s="490"/>
      <c r="H30" s="486"/>
      <c r="I30" s="579"/>
      <c r="J30" s="490"/>
      <c r="K30" s="490"/>
      <c r="L30" s="486"/>
      <c r="M30" s="579"/>
      <c r="N30" s="486"/>
      <c r="O30" s="579"/>
      <c r="P30" s="486"/>
      <c r="Q30" s="579"/>
      <c r="R30" s="490"/>
      <c r="S30" s="490"/>
      <c r="T30" s="486"/>
      <c r="U30" s="579"/>
      <c r="V30" s="490"/>
      <c r="W30" s="490"/>
      <c r="X30" s="490"/>
      <c r="Y30" s="494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79" t="s">
        <v>316</v>
      </c>
      <c r="C31" s="490"/>
      <c r="D31" s="486"/>
      <c r="E31" s="579"/>
      <c r="F31" s="490"/>
      <c r="G31" s="490"/>
      <c r="H31" s="486"/>
      <c r="I31" s="579"/>
      <c r="J31" s="490"/>
      <c r="K31" s="490"/>
      <c r="L31" s="486"/>
      <c r="M31" s="579"/>
      <c r="N31" s="486"/>
      <c r="O31" s="579"/>
      <c r="P31" s="486"/>
      <c r="Q31" s="579"/>
      <c r="R31" s="490"/>
      <c r="S31" s="490"/>
      <c r="T31" s="486"/>
      <c r="U31" s="579"/>
      <c r="V31" s="490"/>
      <c r="W31" s="490"/>
      <c r="X31" s="490"/>
      <c r="Y31" s="494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79" t="s">
        <v>317</v>
      </c>
      <c r="C32" s="490"/>
      <c r="D32" s="486"/>
      <c r="E32" s="579"/>
      <c r="F32" s="490"/>
      <c r="G32" s="490"/>
      <c r="H32" s="486"/>
      <c r="I32" s="579"/>
      <c r="J32" s="490"/>
      <c r="K32" s="490"/>
      <c r="L32" s="486"/>
      <c r="M32" s="579"/>
      <c r="N32" s="486"/>
      <c r="O32" s="579"/>
      <c r="P32" s="486"/>
      <c r="Q32" s="579"/>
      <c r="R32" s="490"/>
      <c r="S32" s="490"/>
      <c r="T32" s="486"/>
      <c r="U32" s="579"/>
      <c r="V32" s="490"/>
      <c r="W32" s="490"/>
      <c r="X32" s="490"/>
      <c r="Y32" s="494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79" t="s">
        <v>320</v>
      </c>
      <c r="C33" s="490"/>
      <c r="D33" s="486"/>
      <c r="E33" s="579"/>
      <c r="F33" s="490"/>
      <c r="G33" s="490"/>
      <c r="H33" s="486"/>
      <c r="I33" s="579"/>
      <c r="J33" s="490"/>
      <c r="K33" s="490"/>
      <c r="L33" s="486"/>
      <c r="M33" s="579"/>
      <c r="N33" s="486"/>
      <c r="O33" s="579"/>
      <c r="P33" s="486"/>
      <c r="Q33" s="579"/>
      <c r="R33" s="490"/>
      <c r="S33" s="490"/>
      <c r="T33" s="486"/>
      <c r="U33" s="579"/>
      <c r="V33" s="490"/>
      <c r="W33" s="490"/>
      <c r="X33" s="490"/>
      <c r="Y33" s="494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79" t="s">
        <v>321</v>
      </c>
      <c r="C34" s="490"/>
      <c r="D34" s="486"/>
      <c r="E34" s="579"/>
      <c r="F34" s="490"/>
      <c r="G34" s="490"/>
      <c r="H34" s="486"/>
      <c r="I34" s="579"/>
      <c r="J34" s="490"/>
      <c r="K34" s="490"/>
      <c r="L34" s="486"/>
      <c r="M34" s="579"/>
      <c r="N34" s="486"/>
      <c r="O34" s="579"/>
      <c r="P34" s="486"/>
      <c r="Q34" s="579"/>
      <c r="R34" s="490"/>
      <c r="S34" s="490"/>
      <c r="T34" s="486"/>
      <c r="U34" s="579"/>
      <c r="V34" s="490"/>
      <c r="W34" s="490"/>
      <c r="X34" s="490"/>
      <c r="Y34" s="494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79" t="s">
        <v>322</v>
      </c>
      <c r="C35" s="490"/>
      <c r="D35" s="486"/>
      <c r="E35" s="579"/>
      <c r="F35" s="490"/>
      <c r="G35" s="490"/>
      <c r="H35" s="486"/>
      <c r="I35" s="579"/>
      <c r="J35" s="490"/>
      <c r="K35" s="490"/>
      <c r="L35" s="486"/>
      <c r="M35" s="579"/>
      <c r="N35" s="486"/>
      <c r="O35" s="579"/>
      <c r="P35" s="486"/>
      <c r="Q35" s="579"/>
      <c r="R35" s="490"/>
      <c r="S35" s="490"/>
      <c r="T35" s="486"/>
      <c r="U35" s="579"/>
      <c r="V35" s="490"/>
      <c r="W35" s="490"/>
      <c r="X35" s="490"/>
      <c r="Y35" s="494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79"/>
      <c r="C36" s="490"/>
      <c r="D36" s="486"/>
      <c r="E36" s="579"/>
      <c r="F36" s="490"/>
      <c r="G36" s="490"/>
      <c r="H36" s="486"/>
      <c r="I36" s="579"/>
      <c r="J36" s="490"/>
      <c r="K36" s="490"/>
      <c r="L36" s="486"/>
      <c r="M36" s="579"/>
      <c r="N36" s="486"/>
      <c r="O36" s="579"/>
      <c r="P36" s="486"/>
      <c r="Q36" s="579"/>
      <c r="R36" s="490"/>
      <c r="S36" s="490"/>
      <c r="T36" s="486"/>
      <c r="U36" s="579"/>
      <c r="V36" s="490"/>
      <c r="W36" s="490"/>
      <c r="X36" s="490"/>
      <c r="Y36" s="494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79"/>
      <c r="C37" s="490"/>
      <c r="D37" s="486"/>
      <c r="E37" s="579"/>
      <c r="F37" s="490"/>
      <c r="G37" s="490"/>
      <c r="H37" s="486"/>
      <c r="I37" s="579"/>
      <c r="J37" s="490"/>
      <c r="K37" s="490"/>
      <c r="L37" s="486"/>
      <c r="M37" s="579"/>
      <c r="N37" s="486"/>
      <c r="O37" s="579"/>
      <c r="P37" s="486"/>
      <c r="Q37" s="579"/>
      <c r="R37" s="490"/>
      <c r="S37" s="490"/>
      <c r="T37" s="486"/>
      <c r="U37" s="579"/>
      <c r="V37" s="490"/>
      <c r="W37" s="490"/>
      <c r="X37" s="490"/>
      <c r="Y37" s="494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79"/>
      <c r="C38" s="490"/>
      <c r="D38" s="486"/>
      <c r="E38" s="579"/>
      <c r="F38" s="490"/>
      <c r="G38" s="490"/>
      <c r="H38" s="486"/>
      <c r="I38" s="579"/>
      <c r="J38" s="490"/>
      <c r="K38" s="490"/>
      <c r="L38" s="486"/>
      <c r="M38" s="579"/>
      <c r="N38" s="486"/>
      <c r="O38" s="579"/>
      <c r="P38" s="486"/>
      <c r="Q38" s="579"/>
      <c r="R38" s="490"/>
      <c r="S38" s="490"/>
      <c r="T38" s="486"/>
      <c r="U38" s="579"/>
      <c r="V38" s="490"/>
      <c r="W38" s="490"/>
      <c r="X38" s="490"/>
      <c r="Y38" s="494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79"/>
      <c r="C39" s="490"/>
      <c r="D39" s="486"/>
      <c r="E39" s="579"/>
      <c r="F39" s="490"/>
      <c r="G39" s="490"/>
      <c r="H39" s="486"/>
      <c r="I39" s="579"/>
      <c r="J39" s="490"/>
      <c r="K39" s="490"/>
      <c r="L39" s="486"/>
      <c r="M39" s="579"/>
      <c r="N39" s="486"/>
      <c r="O39" s="579"/>
      <c r="P39" s="486"/>
      <c r="Q39" s="579"/>
      <c r="R39" s="490"/>
      <c r="S39" s="490"/>
      <c r="T39" s="486"/>
      <c r="U39" s="579"/>
      <c r="V39" s="490"/>
      <c r="W39" s="490"/>
      <c r="X39" s="490"/>
      <c r="Y39" s="494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79"/>
      <c r="C40" s="490"/>
      <c r="D40" s="486"/>
      <c r="E40" s="579"/>
      <c r="F40" s="490"/>
      <c r="G40" s="490"/>
      <c r="H40" s="486"/>
      <c r="I40" s="579"/>
      <c r="J40" s="490"/>
      <c r="K40" s="490"/>
      <c r="L40" s="486"/>
      <c r="M40" s="579"/>
      <c r="N40" s="486"/>
      <c r="O40" s="579"/>
      <c r="P40" s="486"/>
      <c r="Q40" s="579"/>
      <c r="R40" s="490"/>
      <c r="S40" s="490"/>
      <c r="T40" s="486"/>
      <c r="U40" s="579"/>
      <c r="V40" s="490"/>
      <c r="W40" s="490"/>
      <c r="X40" s="490"/>
      <c r="Y40" s="494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79"/>
      <c r="C41" s="490"/>
      <c r="D41" s="486"/>
      <c r="E41" s="579"/>
      <c r="F41" s="490"/>
      <c r="G41" s="490"/>
      <c r="H41" s="486"/>
      <c r="I41" s="579"/>
      <c r="J41" s="490"/>
      <c r="K41" s="490"/>
      <c r="L41" s="486"/>
      <c r="M41" s="579"/>
      <c r="N41" s="486"/>
      <c r="O41" s="579"/>
      <c r="P41" s="486"/>
      <c r="Q41" s="579"/>
      <c r="R41" s="490"/>
      <c r="S41" s="490"/>
      <c r="T41" s="486"/>
      <c r="U41" s="579"/>
      <c r="V41" s="490"/>
      <c r="W41" s="490"/>
      <c r="X41" s="490"/>
      <c r="Y41" s="494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79"/>
      <c r="C42" s="490"/>
      <c r="D42" s="486"/>
      <c r="E42" s="579"/>
      <c r="F42" s="490"/>
      <c r="G42" s="490"/>
      <c r="H42" s="486"/>
      <c r="I42" s="579"/>
      <c r="J42" s="490"/>
      <c r="K42" s="490"/>
      <c r="L42" s="486"/>
      <c r="M42" s="579"/>
      <c r="N42" s="486"/>
      <c r="O42" s="579"/>
      <c r="P42" s="486"/>
      <c r="Q42" s="579"/>
      <c r="R42" s="490"/>
      <c r="S42" s="490"/>
      <c r="T42" s="486"/>
      <c r="U42" s="579"/>
      <c r="V42" s="490"/>
      <c r="W42" s="490"/>
      <c r="X42" s="490"/>
      <c r="Y42" s="494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79"/>
      <c r="C43" s="490"/>
      <c r="D43" s="486"/>
      <c r="E43" s="579"/>
      <c r="F43" s="490"/>
      <c r="G43" s="490"/>
      <c r="H43" s="486"/>
      <c r="I43" s="579"/>
      <c r="J43" s="490"/>
      <c r="K43" s="490"/>
      <c r="L43" s="486"/>
      <c r="M43" s="579"/>
      <c r="N43" s="486"/>
      <c r="O43" s="579"/>
      <c r="P43" s="486"/>
      <c r="Q43" s="579"/>
      <c r="R43" s="490"/>
      <c r="S43" s="490"/>
      <c r="T43" s="486"/>
      <c r="U43" s="579"/>
      <c r="V43" s="490"/>
      <c r="W43" s="490"/>
      <c r="X43" s="490"/>
      <c r="Y43" s="494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79"/>
      <c r="C44" s="490"/>
      <c r="D44" s="486"/>
      <c r="E44" s="579"/>
      <c r="F44" s="490"/>
      <c r="G44" s="490"/>
      <c r="H44" s="486"/>
      <c r="I44" s="579"/>
      <c r="J44" s="490"/>
      <c r="K44" s="490"/>
      <c r="L44" s="486"/>
      <c r="M44" s="579"/>
      <c r="N44" s="486"/>
      <c r="O44" s="579"/>
      <c r="P44" s="486"/>
      <c r="Q44" s="579"/>
      <c r="R44" s="490"/>
      <c r="S44" s="490"/>
      <c r="T44" s="486"/>
      <c r="U44" s="579"/>
      <c r="V44" s="490"/>
      <c r="W44" s="490"/>
      <c r="X44" s="490"/>
      <c r="Y44" s="494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79"/>
      <c r="C45" s="490"/>
      <c r="D45" s="486"/>
      <c r="E45" s="579"/>
      <c r="F45" s="490"/>
      <c r="G45" s="490"/>
      <c r="H45" s="486"/>
      <c r="I45" s="579"/>
      <c r="J45" s="490"/>
      <c r="K45" s="490"/>
      <c r="L45" s="486"/>
      <c r="M45" s="579"/>
      <c r="N45" s="486"/>
      <c r="O45" s="579"/>
      <c r="P45" s="486"/>
      <c r="Q45" s="579"/>
      <c r="R45" s="490"/>
      <c r="S45" s="490"/>
      <c r="T45" s="486"/>
      <c r="U45" s="579"/>
      <c r="V45" s="490"/>
      <c r="W45" s="490"/>
      <c r="X45" s="490"/>
      <c r="Y45" s="494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79"/>
      <c r="C46" s="490"/>
      <c r="D46" s="486"/>
      <c r="E46" s="579"/>
      <c r="F46" s="490"/>
      <c r="G46" s="490"/>
      <c r="H46" s="486"/>
      <c r="I46" s="579"/>
      <c r="J46" s="490"/>
      <c r="K46" s="490"/>
      <c r="L46" s="486"/>
      <c r="M46" s="579"/>
      <c r="N46" s="486"/>
      <c r="O46" s="579"/>
      <c r="P46" s="486"/>
      <c r="Q46" s="579"/>
      <c r="R46" s="490"/>
      <c r="S46" s="490"/>
      <c r="T46" s="486"/>
      <c r="U46" s="579"/>
      <c r="V46" s="490"/>
      <c r="W46" s="490"/>
      <c r="X46" s="490"/>
      <c r="Y46" s="494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79"/>
      <c r="C47" s="490"/>
      <c r="D47" s="486"/>
      <c r="E47" s="579"/>
      <c r="F47" s="490"/>
      <c r="G47" s="490"/>
      <c r="H47" s="486"/>
      <c r="I47" s="579"/>
      <c r="J47" s="490"/>
      <c r="K47" s="490"/>
      <c r="L47" s="486"/>
      <c r="M47" s="579"/>
      <c r="N47" s="486"/>
      <c r="O47" s="579"/>
      <c r="P47" s="486"/>
      <c r="Q47" s="579"/>
      <c r="R47" s="490"/>
      <c r="S47" s="490"/>
      <c r="T47" s="486"/>
      <c r="U47" s="579"/>
      <c r="V47" s="490"/>
      <c r="W47" s="490"/>
      <c r="X47" s="490"/>
      <c r="Y47" s="494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587" t="s">
        <v>323</v>
      </c>
      <c r="V48" s="588"/>
      <c r="W48" s="589"/>
      <c r="X48" s="477"/>
      <c r="Y48" s="590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38"/>
      <c r="V49" s="496"/>
      <c r="W49" s="538"/>
      <c r="X49" s="538"/>
      <c r="Y49" s="591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33" t="s">
        <v>324</v>
      </c>
      <c r="R1" s="635">
        <f>(22.4/18*P7*100/((L10*(273/(273+L8))*((L11+L9)/760))+(22.4/18*P7)))</f>
        <v>1.0496607777805389</v>
      </c>
    </row>
    <row r="2" spans="1:20" ht="30" customHeight="1">
      <c r="A2" s="654" t="s">
        <v>66</v>
      </c>
      <c r="B2" s="638" t="s">
        <v>134</v>
      </c>
      <c r="C2" s="2"/>
      <c r="D2" s="2"/>
      <c r="E2" s="2"/>
      <c r="F2" s="2"/>
      <c r="G2" s="648">
        <v>22.4</v>
      </c>
      <c r="H2" s="538"/>
      <c r="I2" s="471" t="s">
        <v>42</v>
      </c>
      <c r="J2" s="2"/>
      <c r="K2" s="2"/>
      <c r="L2" s="2"/>
      <c r="M2" s="2"/>
      <c r="N2" s="1"/>
      <c r="O2" s="1"/>
      <c r="P2" s="182"/>
      <c r="Q2" s="634"/>
      <c r="R2" s="636"/>
    </row>
    <row r="3" spans="1:20" ht="30" customHeight="1">
      <c r="A3" s="562"/>
      <c r="B3" s="443"/>
      <c r="C3" s="181"/>
      <c r="D3" s="181"/>
      <c r="E3" s="181"/>
      <c r="F3" s="181"/>
      <c r="G3" s="648">
        <v>18</v>
      </c>
      <c r="H3" s="538"/>
      <c r="I3" s="538"/>
      <c r="J3" s="181"/>
      <c r="K3" s="181"/>
      <c r="L3" s="181"/>
      <c r="M3" s="181"/>
      <c r="N3" s="183"/>
      <c r="O3" s="638" t="s">
        <v>325</v>
      </c>
      <c r="P3" s="639">
        <v>100</v>
      </c>
      <c r="Q3" s="634"/>
      <c r="R3" s="636"/>
    </row>
    <row r="4" spans="1:20" ht="30" customHeight="1">
      <c r="A4" s="562"/>
      <c r="B4" s="443"/>
      <c r="C4" s="657" t="s">
        <v>58</v>
      </c>
      <c r="D4" s="657" t="s">
        <v>325</v>
      </c>
      <c r="E4" s="665">
        <v>273</v>
      </c>
      <c r="F4" s="553"/>
      <c r="G4" s="553"/>
      <c r="H4" s="471" t="s">
        <v>325</v>
      </c>
      <c r="I4" s="185" t="s">
        <v>18</v>
      </c>
      <c r="J4" s="186" t="s">
        <v>326</v>
      </c>
      <c r="K4" s="185" t="s">
        <v>52</v>
      </c>
      <c r="L4" s="638" t="s">
        <v>326</v>
      </c>
      <c r="M4" s="185">
        <v>22.4</v>
      </c>
      <c r="N4" s="471" t="s">
        <v>42</v>
      </c>
      <c r="O4" s="443"/>
      <c r="P4" s="565"/>
      <c r="Q4" s="634"/>
      <c r="R4" s="636"/>
    </row>
    <row r="5" spans="1:20" ht="30" customHeight="1">
      <c r="A5" s="562"/>
      <c r="B5" s="443"/>
      <c r="C5" s="443"/>
      <c r="D5" s="443"/>
      <c r="E5" s="2">
        <v>273</v>
      </c>
      <c r="F5" s="38" t="s">
        <v>326</v>
      </c>
      <c r="G5" s="2" t="s">
        <v>46</v>
      </c>
      <c r="H5" s="443"/>
      <c r="I5" s="471">
        <v>760</v>
      </c>
      <c r="J5" s="443"/>
      <c r="K5" s="443"/>
      <c r="L5" s="443"/>
      <c r="M5" s="2">
        <v>18</v>
      </c>
      <c r="N5" s="443"/>
      <c r="O5" s="1"/>
      <c r="P5" s="182"/>
      <c r="Q5" s="634"/>
      <c r="R5" s="636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34"/>
      <c r="R6" s="636"/>
    </row>
    <row r="7" spans="1:20" ht="30" customHeight="1">
      <c r="A7" s="54" t="s">
        <v>42</v>
      </c>
      <c r="B7" s="2" t="s">
        <v>132</v>
      </c>
      <c r="C7" s="482" t="s">
        <v>41</v>
      </c>
      <c r="D7" s="443"/>
      <c r="E7" s="443"/>
      <c r="F7" s="443"/>
      <c r="G7" s="443"/>
      <c r="H7" s="443"/>
      <c r="I7" s="443"/>
      <c r="J7" s="565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34"/>
      <c r="R7" s="636"/>
    </row>
    <row r="8" spans="1:20" ht="30" customHeight="1">
      <c r="A8" s="54" t="s">
        <v>46</v>
      </c>
      <c r="B8" s="2" t="s">
        <v>132</v>
      </c>
      <c r="C8" s="482" t="s">
        <v>45</v>
      </c>
      <c r="D8" s="443"/>
      <c r="E8" s="443"/>
      <c r="F8" s="443"/>
      <c r="G8" s="443"/>
      <c r="H8" s="443"/>
      <c r="I8" s="443"/>
      <c r="J8" s="565"/>
      <c r="K8" s="194" t="s">
        <v>46</v>
      </c>
      <c r="L8" s="663">
        <f>기록부!I27</f>
        <v>19</v>
      </c>
      <c r="M8" s="490"/>
      <c r="N8" s="490"/>
      <c r="O8" s="490"/>
      <c r="P8" s="494"/>
      <c r="Q8" s="634"/>
      <c r="R8" s="636"/>
    </row>
    <row r="9" spans="1:20" ht="30" customHeight="1">
      <c r="A9" s="54" t="s">
        <v>52</v>
      </c>
      <c r="B9" s="2" t="s">
        <v>132</v>
      </c>
      <c r="C9" s="482" t="s">
        <v>51</v>
      </c>
      <c r="D9" s="443"/>
      <c r="E9" s="443"/>
      <c r="F9" s="443"/>
      <c r="G9" s="443"/>
      <c r="H9" s="443"/>
      <c r="I9" s="443"/>
      <c r="J9" s="565"/>
      <c r="K9" s="194" t="s">
        <v>52</v>
      </c>
      <c r="L9" s="640">
        <f>ROUND(40/13.6,1)</f>
        <v>2.9</v>
      </c>
      <c r="M9" s="490"/>
      <c r="N9" s="490"/>
      <c r="O9" s="490"/>
      <c r="P9" s="494"/>
      <c r="Q9" s="634"/>
      <c r="R9" s="636"/>
    </row>
    <row r="10" spans="1:20" ht="30" customHeight="1">
      <c r="A10" s="54" t="s">
        <v>58</v>
      </c>
      <c r="B10" s="2" t="s">
        <v>132</v>
      </c>
      <c r="C10" s="482" t="s">
        <v>57</v>
      </c>
      <c r="D10" s="443"/>
      <c r="E10" s="443"/>
      <c r="F10" s="443"/>
      <c r="G10" s="443"/>
      <c r="H10" s="443"/>
      <c r="I10" s="443"/>
      <c r="J10" s="565"/>
      <c r="K10" s="194" t="s">
        <v>58</v>
      </c>
      <c r="L10" s="641">
        <f>기록부!M27</f>
        <v>10</v>
      </c>
      <c r="M10" s="490"/>
      <c r="N10" s="490"/>
      <c r="O10" s="490"/>
      <c r="P10" s="494"/>
      <c r="Q10" s="634"/>
      <c r="R10" s="636"/>
    </row>
    <row r="11" spans="1:20" ht="30" customHeight="1">
      <c r="A11" s="187" t="s">
        <v>18</v>
      </c>
      <c r="B11" s="181" t="s">
        <v>132</v>
      </c>
      <c r="C11" s="649" t="s">
        <v>17</v>
      </c>
      <c r="D11" s="538"/>
      <c r="E11" s="538"/>
      <c r="F11" s="538"/>
      <c r="G11" s="538"/>
      <c r="H11" s="538"/>
      <c r="I11" s="538"/>
      <c r="J11" s="591"/>
      <c r="K11" s="195" t="s">
        <v>18</v>
      </c>
      <c r="L11" s="642">
        <f>기록부!S6</f>
        <v>760</v>
      </c>
      <c r="M11" s="499"/>
      <c r="N11" s="499"/>
      <c r="O11" s="499"/>
      <c r="P11" s="495"/>
      <c r="Q11" s="601"/>
      <c r="R11" s="637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33" t="s">
        <v>331</v>
      </c>
      <c r="R12" s="647">
        <v>1.0213223317622142</v>
      </c>
      <c r="S12" s="1" t="s">
        <v>332</v>
      </c>
    </row>
    <row r="13" spans="1:20" ht="30" customHeight="1">
      <c r="A13" s="654" t="s">
        <v>72</v>
      </c>
      <c r="B13" s="638" t="s">
        <v>134</v>
      </c>
      <c r="C13" s="2">
        <v>1</v>
      </c>
      <c r="D13" s="471" t="s">
        <v>333</v>
      </c>
      <c r="E13" s="443"/>
      <c r="F13" s="443"/>
      <c r="G13" s="443"/>
      <c r="H13" s="443"/>
      <c r="I13" s="471" t="s">
        <v>325</v>
      </c>
      <c r="J13" s="181" t="s">
        <v>334</v>
      </c>
      <c r="K13" s="471" t="s">
        <v>326</v>
      </c>
      <c r="L13" s="471" t="s">
        <v>335</v>
      </c>
      <c r="M13" s="471" t="s">
        <v>325</v>
      </c>
      <c r="N13" s="2">
        <v>273</v>
      </c>
      <c r="O13" s="471" t="s">
        <v>325</v>
      </c>
      <c r="P13" s="184" t="s">
        <v>336</v>
      </c>
      <c r="Q13" s="634"/>
      <c r="R13" s="636"/>
      <c r="T13" s="1" t="s">
        <v>337</v>
      </c>
    </row>
    <row r="14" spans="1:20" ht="30" customHeight="1">
      <c r="A14" s="562"/>
      <c r="B14" s="443"/>
      <c r="C14" s="2" t="s">
        <v>338</v>
      </c>
      <c r="D14" s="443"/>
      <c r="E14" s="443"/>
      <c r="F14" s="443"/>
      <c r="G14" s="443"/>
      <c r="H14" s="443"/>
      <c r="I14" s="538"/>
      <c r="J14" s="178">
        <v>100</v>
      </c>
      <c r="K14" s="443"/>
      <c r="L14" s="443"/>
      <c r="M14" s="443"/>
      <c r="N14" s="2" t="s">
        <v>339</v>
      </c>
      <c r="O14" s="443"/>
      <c r="P14" s="184">
        <v>760</v>
      </c>
      <c r="Q14" s="634"/>
      <c r="R14" s="636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34"/>
      <c r="R15" s="636"/>
      <c r="S15" s="1" t="s">
        <v>341</v>
      </c>
    </row>
    <row r="16" spans="1:20" ht="30" customHeight="1">
      <c r="A16" s="54" t="s">
        <v>66</v>
      </c>
      <c r="B16" s="2" t="s">
        <v>132</v>
      </c>
      <c r="C16" s="482" t="s">
        <v>65</v>
      </c>
      <c r="D16" s="443"/>
      <c r="E16" s="443"/>
      <c r="F16" s="443"/>
      <c r="G16" s="443"/>
      <c r="H16" s="443"/>
      <c r="I16" s="443"/>
      <c r="J16" s="565"/>
      <c r="K16" s="189" t="s">
        <v>66</v>
      </c>
      <c r="L16" s="643">
        <f>R1</f>
        <v>1.0496607777805389</v>
      </c>
      <c r="M16" s="475"/>
      <c r="N16" s="475"/>
      <c r="O16" s="475"/>
      <c r="P16" s="566"/>
      <c r="Q16" s="634"/>
      <c r="R16" s="636"/>
    </row>
    <row r="17" spans="1:18" ht="30" customHeight="1">
      <c r="A17" s="54" t="s">
        <v>18</v>
      </c>
      <c r="B17" s="2" t="s">
        <v>132</v>
      </c>
      <c r="C17" s="482" t="s">
        <v>342</v>
      </c>
      <c r="D17" s="443"/>
      <c r="E17" s="443"/>
      <c r="F17" s="443"/>
      <c r="G17" s="443"/>
      <c r="H17" s="443"/>
      <c r="I17" s="443"/>
      <c r="J17" s="565"/>
      <c r="K17" s="194" t="s">
        <v>18</v>
      </c>
      <c r="L17" s="644">
        <f>기록부!S6</f>
        <v>760</v>
      </c>
      <c r="M17" s="490"/>
      <c r="N17" s="490"/>
      <c r="O17" s="490"/>
      <c r="P17" s="494"/>
      <c r="Q17" s="634"/>
      <c r="R17" s="636"/>
    </row>
    <row r="18" spans="1:18" ht="30" customHeight="1">
      <c r="A18" s="54" t="s">
        <v>99</v>
      </c>
      <c r="B18" s="2" t="s">
        <v>132</v>
      </c>
      <c r="C18" s="482" t="s">
        <v>98</v>
      </c>
      <c r="D18" s="443"/>
      <c r="E18" s="443"/>
      <c r="F18" s="443"/>
      <c r="G18" s="443"/>
      <c r="H18" s="443"/>
      <c r="I18" s="443"/>
      <c r="J18" s="565"/>
      <c r="K18" s="194" t="s">
        <v>99</v>
      </c>
      <c r="L18" s="645">
        <f>기록부!I24/13.6</f>
        <v>8.0882352941176475E-2</v>
      </c>
      <c r="M18" s="490"/>
      <c r="N18" s="490"/>
      <c r="O18" s="490"/>
      <c r="P18" s="494"/>
      <c r="Q18" s="634"/>
      <c r="R18" s="636"/>
    </row>
    <row r="19" spans="1:18" ht="30" customHeight="1">
      <c r="A19" s="187" t="s">
        <v>101</v>
      </c>
      <c r="B19" s="181" t="s">
        <v>132</v>
      </c>
      <c r="C19" s="649" t="s">
        <v>100</v>
      </c>
      <c r="D19" s="538"/>
      <c r="E19" s="538"/>
      <c r="F19" s="538"/>
      <c r="G19" s="538"/>
      <c r="H19" s="538"/>
      <c r="I19" s="538"/>
      <c r="J19" s="591"/>
      <c r="K19" s="195" t="s">
        <v>101</v>
      </c>
      <c r="L19" s="646">
        <f>기록부!C24</f>
        <v>78</v>
      </c>
      <c r="M19" s="499"/>
      <c r="N19" s="499"/>
      <c r="O19" s="499"/>
      <c r="P19" s="495"/>
      <c r="Q19" s="601"/>
      <c r="R19" s="637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33" t="s">
        <v>344</v>
      </c>
      <c r="R20" s="635">
        <f>(L24*((2*L25*L26/L27)^(1/2)))</f>
        <v>2.3007857321069629</v>
      </c>
    </row>
    <row r="21" spans="1:18" ht="30" customHeight="1">
      <c r="A21" s="654" t="s">
        <v>32</v>
      </c>
      <c r="B21" s="638" t="s">
        <v>134</v>
      </c>
      <c r="C21" s="471" t="s">
        <v>82</v>
      </c>
      <c r="D21" s="664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34"/>
      <c r="R21" s="636"/>
    </row>
    <row r="22" spans="1:18" ht="30" customHeight="1">
      <c r="A22" s="562"/>
      <c r="B22" s="443"/>
      <c r="C22" s="443"/>
      <c r="D22" s="443"/>
      <c r="E22" s="657" t="s">
        <v>72</v>
      </c>
      <c r="F22" s="501"/>
      <c r="G22" s="501"/>
      <c r="H22" s="501"/>
      <c r="I22" s="501"/>
      <c r="J22" s="1"/>
      <c r="K22" s="1"/>
      <c r="L22" s="2"/>
      <c r="M22" s="2"/>
      <c r="N22" s="2"/>
      <c r="O22" s="1"/>
      <c r="P22" s="182"/>
      <c r="Q22" s="634"/>
      <c r="R22" s="636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34"/>
      <c r="R23" s="636"/>
    </row>
    <row r="24" spans="1:18" ht="30" customHeight="1">
      <c r="A24" s="54" t="s">
        <v>82</v>
      </c>
      <c r="B24" s="2" t="s">
        <v>132</v>
      </c>
      <c r="C24" s="482" t="s">
        <v>81</v>
      </c>
      <c r="D24" s="443"/>
      <c r="E24" s="443"/>
      <c r="F24" s="443"/>
      <c r="G24" s="443"/>
      <c r="H24" s="443"/>
      <c r="I24" s="443"/>
      <c r="J24" s="565"/>
      <c r="K24" s="189" t="s">
        <v>82</v>
      </c>
      <c r="L24" s="660">
        <f>기록부!S4</f>
        <v>0.83</v>
      </c>
      <c r="M24" s="475"/>
      <c r="N24" s="475"/>
      <c r="O24" s="475"/>
      <c r="P24" s="566"/>
      <c r="Q24" s="634"/>
      <c r="R24" s="636"/>
    </row>
    <row r="25" spans="1:18" ht="30" customHeight="1">
      <c r="A25" s="54" t="s">
        <v>83</v>
      </c>
      <c r="B25" s="2" t="s">
        <v>132</v>
      </c>
      <c r="C25" s="482" t="s">
        <v>346</v>
      </c>
      <c r="D25" s="443"/>
      <c r="E25" s="443"/>
      <c r="F25" s="443"/>
      <c r="G25" s="443"/>
      <c r="H25" s="443"/>
      <c r="I25" s="443"/>
      <c r="J25" s="565"/>
      <c r="K25" s="194" t="s">
        <v>83</v>
      </c>
      <c r="L25" s="659">
        <v>9.81</v>
      </c>
      <c r="M25" s="490"/>
      <c r="N25" s="490"/>
      <c r="O25" s="490"/>
      <c r="P25" s="494"/>
      <c r="Q25" s="634"/>
      <c r="R25" s="636"/>
    </row>
    <row r="26" spans="1:18" ht="30" customHeight="1">
      <c r="A26" s="54" t="s">
        <v>84</v>
      </c>
      <c r="B26" s="2" t="s">
        <v>132</v>
      </c>
      <c r="C26" s="482" t="s">
        <v>347</v>
      </c>
      <c r="D26" s="443"/>
      <c r="E26" s="443"/>
      <c r="F26" s="443"/>
      <c r="G26" s="443"/>
      <c r="H26" s="443"/>
      <c r="I26" s="443"/>
      <c r="J26" s="565"/>
      <c r="K26" s="194" t="s">
        <v>84</v>
      </c>
      <c r="L26" s="640">
        <f>기록부!K24</f>
        <v>0.4</v>
      </c>
      <c r="M26" s="490"/>
      <c r="N26" s="490"/>
      <c r="O26" s="490"/>
      <c r="P26" s="494"/>
      <c r="Q26" s="634"/>
      <c r="R26" s="636"/>
    </row>
    <row r="27" spans="1:18" ht="30" customHeight="1">
      <c r="A27" s="187" t="s">
        <v>72</v>
      </c>
      <c r="B27" s="181" t="s">
        <v>132</v>
      </c>
      <c r="C27" s="649" t="s">
        <v>95</v>
      </c>
      <c r="D27" s="538"/>
      <c r="E27" s="538"/>
      <c r="F27" s="538"/>
      <c r="G27" s="538"/>
      <c r="H27" s="538"/>
      <c r="I27" s="538"/>
      <c r="J27" s="591"/>
      <c r="K27" s="195" t="s">
        <v>72</v>
      </c>
      <c r="L27" s="662">
        <f>R12</f>
        <v>1.0213223317622142</v>
      </c>
      <c r="M27" s="499"/>
      <c r="N27" s="499"/>
      <c r="O27" s="499"/>
      <c r="P27" s="495"/>
      <c r="Q27" s="601"/>
      <c r="R27" s="637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33" t="s">
        <v>349</v>
      </c>
      <c r="R28" s="635">
        <f>(L32*L33*18/(100-L33)/22.4)</f>
        <v>3.4864181739518889</v>
      </c>
    </row>
    <row r="29" spans="1:18" ht="30" customHeight="1">
      <c r="A29" s="654" t="s">
        <v>10</v>
      </c>
      <c r="B29" s="638" t="s">
        <v>134</v>
      </c>
      <c r="C29" s="471" t="s">
        <v>77</v>
      </c>
      <c r="D29" s="471" t="s">
        <v>325</v>
      </c>
      <c r="E29" s="181"/>
      <c r="F29" s="181" t="s">
        <v>66</v>
      </c>
      <c r="G29" s="181"/>
      <c r="H29" s="471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34"/>
      <c r="R29" s="636"/>
    </row>
    <row r="30" spans="1:18" ht="30" customHeight="1">
      <c r="A30" s="562"/>
      <c r="B30" s="443"/>
      <c r="C30" s="443"/>
      <c r="D30" s="443"/>
      <c r="E30" s="2">
        <v>100</v>
      </c>
      <c r="F30" s="38" t="s">
        <v>15</v>
      </c>
      <c r="G30" s="2" t="s">
        <v>66</v>
      </c>
      <c r="H30" s="443"/>
      <c r="I30" s="2">
        <v>22.4</v>
      </c>
      <c r="J30" s="2"/>
      <c r="K30" s="1"/>
      <c r="L30" s="2"/>
      <c r="M30" s="2"/>
      <c r="N30" s="2"/>
      <c r="O30" s="1"/>
      <c r="P30" s="182"/>
      <c r="Q30" s="634"/>
      <c r="R30" s="636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34"/>
      <c r="R31" s="636"/>
    </row>
    <row r="32" spans="1:18" ht="30" customHeight="1">
      <c r="A32" s="54" t="s">
        <v>77</v>
      </c>
      <c r="B32" s="2" t="s">
        <v>132</v>
      </c>
      <c r="C32" s="482" t="s">
        <v>76</v>
      </c>
      <c r="D32" s="443"/>
      <c r="E32" s="443"/>
      <c r="F32" s="443"/>
      <c r="G32" s="443"/>
      <c r="H32" s="443"/>
      <c r="I32" s="443"/>
      <c r="J32" s="565"/>
      <c r="K32" s="189" t="s">
        <v>77</v>
      </c>
      <c r="L32" s="661">
        <f>기록부!O23</f>
        <v>409</v>
      </c>
      <c r="M32" s="475"/>
      <c r="N32" s="475"/>
      <c r="O32" s="475"/>
      <c r="P32" s="566"/>
      <c r="Q32" s="634"/>
      <c r="R32" s="636"/>
    </row>
    <row r="33" spans="1:18" ht="30" customHeight="1">
      <c r="A33" s="187" t="s">
        <v>66</v>
      </c>
      <c r="B33" s="181" t="s">
        <v>132</v>
      </c>
      <c r="C33" s="649" t="s">
        <v>79</v>
      </c>
      <c r="D33" s="538"/>
      <c r="E33" s="538"/>
      <c r="F33" s="538"/>
      <c r="G33" s="538"/>
      <c r="H33" s="538"/>
      <c r="I33" s="538"/>
      <c r="J33" s="591"/>
      <c r="K33" s="195" t="s">
        <v>66</v>
      </c>
      <c r="L33" s="662">
        <f>R1</f>
        <v>1.0496607777805389</v>
      </c>
      <c r="M33" s="499"/>
      <c r="N33" s="499"/>
      <c r="O33" s="499"/>
      <c r="P33" s="495"/>
      <c r="Q33" s="601"/>
      <c r="R33" s="637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33" t="s">
        <v>351</v>
      </c>
      <c r="R34" s="635">
        <f>L40*(0.00346*L41+L42/L43*(L44+L45/13.6))*1.667*10000/(L46*L47*L48*L49)</f>
        <v>98.187978413528313</v>
      </c>
    </row>
    <row r="35" spans="1:18" ht="30" customHeight="1">
      <c r="A35" s="197"/>
      <c r="B35" s="1"/>
      <c r="C35" s="471" t="s">
        <v>6</v>
      </c>
      <c r="D35" s="655" t="s">
        <v>352</v>
      </c>
      <c r="E35" s="656">
        <v>3.4599999999999995E-3</v>
      </c>
      <c r="F35" s="471" t="s">
        <v>10</v>
      </c>
      <c r="G35" s="638" t="s">
        <v>326</v>
      </c>
      <c r="H35" s="648" t="s">
        <v>12</v>
      </c>
      <c r="I35" s="538"/>
      <c r="J35" s="538"/>
      <c r="K35" s="538"/>
      <c r="L35" s="183"/>
      <c r="M35" s="482" t="s">
        <v>177</v>
      </c>
      <c r="N35" s="1"/>
      <c r="O35" s="1"/>
      <c r="P35" s="1"/>
      <c r="Q35" s="634"/>
      <c r="R35" s="636"/>
    </row>
    <row r="36" spans="1:18" ht="30" customHeight="1">
      <c r="A36" s="654" t="s">
        <v>38</v>
      </c>
      <c r="B36" s="1"/>
      <c r="C36" s="443"/>
      <c r="D36" s="443"/>
      <c r="E36" s="443"/>
      <c r="F36" s="443"/>
      <c r="G36" s="443"/>
      <c r="H36" s="657" t="s">
        <v>14</v>
      </c>
      <c r="I36" s="471" t="s">
        <v>325</v>
      </c>
      <c r="J36" s="471" t="s">
        <v>18</v>
      </c>
      <c r="K36" s="658" t="s">
        <v>326</v>
      </c>
      <c r="L36" s="181" t="s">
        <v>19</v>
      </c>
      <c r="M36" s="443"/>
      <c r="N36" s="1"/>
      <c r="O36" s="1"/>
      <c r="P36" s="1"/>
      <c r="Q36" s="634"/>
      <c r="R36" s="636"/>
    </row>
    <row r="37" spans="1:18" ht="30" customHeight="1">
      <c r="A37" s="562"/>
      <c r="B37" s="471" t="s">
        <v>134</v>
      </c>
      <c r="C37" s="183"/>
      <c r="D37" s="183"/>
      <c r="E37" s="183"/>
      <c r="F37" s="183"/>
      <c r="G37" s="183"/>
      <c r="H37" s="538"/>
      <c r="I37" s="538"/>
      <c r="J37" s="538"/>
      <c r="K37" s="538"/>
      <c r="L37" s="181">
        <v>13.6</v>
      </c>
      <c r="M37" s="471" t="s">
        <v>325</v>
      </c>
      <c r="N37" s="471">
        <v>1.667</v>
      </c>
      <c r="O37" s="471" t="s">
        <v>325</v>
      </c>
      <c r="P37" s="471">
        <v>10000</v>
      </c>
      <c r="Q37" s="634"/>
      <c r="R37" s="636"/>
    </row>
    <row r="38" spans="1:18" ht="30" customHeight="1">
      <c r="A38" s="562"/>
      <c r="B38" s="443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43"/>
      <c r="N38" s="443"/>
      <c r="O38" s="443"/>
      <c r="P38" s="443"/>
      <c r="Q38" s="634"/>
      <c r="R38" s="636"/>
    </row>
    <row r="39" spans="1:18" ht="30" customHeight="1">
      <c r="A39" s="551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34"/>
      <c r="R39" s="636"/>
    </row>
    <row r="40" spans="1:18" ht="30" customHeight="1">
      <c r="A40" s="53" t="s">
        <v>6</v>
      </c>
      <c r="B40" s="178" t="s">
        <v>132</v>
      </c>
      <c r="C40" s="631" t="s">
        <v>5</v>
      </c>
      <c r="D40" s="501"/>
      <c r="E40" s="501"/>
      <c r="F40" s="501"/>
      <c r="G40" s="501"/>
      <c r="H40" s="501"/>
      <c r="I40" s="501"/>
      <c r="J40" s="632"/>
      <c r="K40" s="198" t="s">
        <v>6</v>
      </c>
      <c r="L40" s="666">
        <f>273+기록부!C24</f>
        <v>351</v>
      </c>
      <c r="M40" s="535"/>
      <c r="N40" s="535"/>
      <c r="O40" s="535"/>
      <c r="P40" s="535"/>
      <c r="Q40" s="634"/>
      <c r="R40" s="636"/>
    </row>
    <row r="41" spans="1:18" ht="30" customHeight="1">
      <c r="A41" s="54" t="s">
        <v>10</v>
      </c>
      <c r="B41" s="2" t="s">
        <v>132</v>
      </c>
      <c r="C41" s="482" t="s">
        <v>9</v>
      </c>
      <c r="D41" s="443"/>
      <c r="E41" s="443"/>
      <c r="F41" s="443"/>
      <c r="G41" s="443"/>
      <c r="H41" s="443"/>
      <c r="I41" s="443"/>
      <c r="J41" s="565"/>
      <c r="K41" s="199" t="s">
        <v>10</v>
      </c>
      <c r="L41" s="650">
        <f>R28</f>
        <v>3.4864181739518889</v>
      </c>
      <c r="M41" s="490"/>
      <c r="N41" s="490"/>
      <c r="O41" s="490"/>
      <c r="P41" s="490"/>
      <c r="Q41" s="634"/>
      <c r="R41" s="636"/>
    </row>
    <row r="42" spans="1:18" ht="30" customHeight="1">
      <c r="A42" s="54" t="s">
        <v>12</v>
      </c>
      <c r="B42" s="2" t="s">
        <v>132</v>
      </c>
      <c r="C42" s="482" t="s">
        <v>353</v>
      </c>
      <c r="D42" s="443"/>
      <c r="E42" s="443"/>
      <c r="F42" s="443"/>
      <c r="G42" s="443"/>
      <c r="H42" s="443"/>
      <c r="I42" s="443"/>
      <c r="J42" s="565"/>
      <c r="K42" s="199" t="s">
        <v>12</v>
      </c>
      <c r="L42" s="651">
        <f>기록부!O23/1000</f>
        <v>0.40899999999999997</v>
      </c>
      <c r="M42" s="490"/>
      <c r="N42" s="490"/>
      <c r="O42" s="490"/>
      <c r="P42" s="490"/>
      <c r="Q42" s="634"/>
      <c r="R42" s="636"/>
    </row>
    <row r="43" spans="1:18" ht="30" customHeight="1">
      <c r="A43" s="54" t="s">
        <v>14</v>
      </c>
      <c r="B43" s="2" t="s">
        <v>132</v>
      </c>
      <c r="C43" s="482" t="s">
        <v>13</v>
      </c>
      <c r="D43" s="443"/>
      <c r="E43" s="443"/>
      <c r="F43" s="443"/>
      <c r="G43" s="443"/>
      <c r="H43" s="443"/>
      <c r="I43" s="443"/>
      <c r="J43" s="565"/>
      <c r="K43" s="199" t="s">
        <v>14</v>
      </c>
      <c r="L43" s="652">
        <f>273+기록부!E24</f>
        <v>291</v>
      </c>
      <c r="M43" s="490"/>
      <c r="N43" s="490"/>
      <c r="O43" s="490"/>
      <c r="P43" s="490"/>
      <c r="Q43" s="634"/>
      <c r="R43" s="636"/>
    </row>
    <row r="44" spans="1:18" ht="30" customHeight="1">
      <c r="A44" s="54" t="s">
        <v>18</v>
      </c>
      <c r="B44" s="2" t="s">
        <v>132</v>
      </c>
      <c r="C44" s="482" t="s">
        <v>17</v>
      </c>
      <c r="D44" s="443"/>
      <c r="E44" s="443"/>
      <c r="F44" s="443"/>
      <c r="G44" s="443"/>
      <c r="H44" s="443"/>
      <c r="I44" s="443"/>
      <c r="J44" s="565"/>
      <c r="K44" s="199" t="s">
        <v>18</v>
      </c>
      <c r="L44" s="653">
        <f>기록부!S6</f>
        <v>760</v>
      </c>
      <c r="M44" s="490"/>
      <c r="N44" s="490"/>
      <c r="O44" s="490"/>
      <c r="P44" s="490"/>
      <c r="Q44" s="634"/>
      <c r="R44" s="636"/>
    </row>
    <row r="45" spans="1:18" ht="30" customHeight="1">
      <c r="A45" s="54" t="s">
        <v>19</v>
      </c>
      <c r="B45" s="2" t="s">
        <v>132</v>
      </c>
      <c r="C45" s="482" t="s">
        <v>354</v>
      </c>
      <c r="D45" s="443"/>
      <c r="E45" s="443"/>
      <c r="F45" s="443"/>
      <c r="G45" s="443"/>
      <c r="H45" s="443"/>
      <c r="I45" s="443"/>
      <c r="J45" s="565"/>
      <c r="K45" s="200" t="s">
        <v>19</v>
      </c>
      <c r="L45" s="667">
        <f>기록부!M24</f>
        <v>10.5336</v>
      </c>
      <c r="M45" s="475"/>
      <c r="N45" s="475"/>
      <c r="O45" s="475"/>
      <c r="P45" s="475"/>
      <c r="Q45" s="634"/>
      <c r="R45" s="636"/>
    </row>
    <row r="46" spans="1:18" ht="30" customHeight="1">
      <c r="A46" s="54" t="s">
        <v>22</v>
      </c>
      <c r="B46" s="2" t="s">
        <v>132</v>
      </c>
      <c r="C46" s="482" t="s">
        <v>21</v>
      </c>
      <c r="D46" s="443"/>
      <c r="E46" s="443"/>
      <c r="F46" s="443"/>
      <c r="G46" s="443"/>
      <c r="H46" s="443"/>
      <c r="I46" s="443"/>
      <c r="J46" s="565"/>
      <c r="K46" s="199" t="s">
        <v>22</v>
      </c>
      <c r="L46" s="668">
        <f>760+(기록부!I24/13.6)</f>
        <v>760.08088235294122</v>
      </c>
      <c r="M46" s="490"/>
      <c r="N46" s="490"/>
      <c r="O46" s="490"/>
      <c r="P46" s="490"/>
      <c r="Q46" s="634"/>
      <c r="R46" s="636"/>
    </row>
    <row r="47" spans="1:18" ht="30" customHeight="1">
      <c r="A47" s="54" t="s">
        <v>27</v>
      </c>
      <c r="B47" s="2" t="s">
        <v>132</v>
      </c>
      <c r="C47" s="482" t="s">
        <v>26</v>
      </c>
      <c r="D47" s="443"/>
      <c r="E47" s="443"/>
      <c r="F47" s="443"/>
      <c r="G47" s="443"/>
      <c r="H47" s="443"/>
      <c r="I47" s="443"/>
      <c r="J47" s="565"/>
      <c r="K47" s="199" t="s">
        <v>27</v>
      </c>
      <c r="L47" s="640">
        <f>기록부!Q23</f>
        <v>40</v>
      </c>
      <c r="M47" s="490"/>
      <c r="N47" s="490"/>
      <c r="O47" s="490"/>
      <c r="P47" s="490"/>
      <c r="Q47" s="634"/>
      <c r="R47" s="636"/>
    </row>
    <row r="48" spans="1:18" ht="30" customHeight="1">
      <c r="A48" s="54" t="s">
        <v>32</v>
      </c>
      <c r="B48" s="2" t="s">
        <v>132</v>
      </c>
      <c r="C48" s="482" t="s">
        <v>31</v>
      </c>
      <c r="D48" s="443"/>
      <c r="E48" s="443"/>
      <c r="F48" s="443"/>
      <c r="G48" s="443"/>
      <c r="H48" s="443"/>
      <c r="I48" s="443"/>
      <c r="J48" s="565"/>
      <c r="K48" s="199" t="s">
        <v>32</v>
      </c>
      <c r="L48" s="650">
        <f>R20</f>
        <v>2.3007857321069629</v>
      </c>
      <c r="M48" s="490"/>
      <c r="N48" s="490"/>
      <c r="O48" s="490"/>
      <c r="P48" s="490"/>
      <c r="Q48" s="634"/>
      <c r="R48" s="636"/>
    </row>
    <row r="49" spans="1:18" ht="30" customHeight="1">
      <c r="A49" s="187" t="s">
        <v>35</v>
      </c>
      <c r="B49" s="181" t="s">
        <v>132</v>
      </c>
      <c r="C49" s="649" t="s">
        <v>355</v>
      </c>
      <c r="D49" s="538"/>
      <c r="E49" s="538"/>
      <c r="F49" s="538"/>
      <c r="G49" s="538"/>
      <c r="H49" s="538"/>
      <c r="I49" s="538"/>
      <c r="J49" s="591"/>
      <c r="K49" s="201" t="s">
        <v>35</v>
      </c>
      <c r="L49" s="669">
        <f>(3.14159265358979*기록부!E8*기록부!E8/4)</f>
        <v>0.92118486646906883</v>
      </c>
      <c r="M49" s="499"/>
      <c r="N49" s="499"/>
      <c r="O49" s="499"/>
      <c r="P49" s="499"/>
      <c r="Q49" s="601"/>
      <c r="R49" s="637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71" t="s">
        <v>356</v>
      </c>
      <c r="B1" s="507"/>
      <c r="C1" s="672" t="s">
        <v>357</v>
      </c>
      <c r="D1" s="673"/>
      <c r="E1" s="673"/>
      <c r="F1" s="673"/>
      <c r="G1" s="673"/>
      <c r="H1" s="673"/>
      <c r="I1" s="673"/>
      <c r="J1" s="673"/>
      <c r="K1" s="673"/>
      <c r="L1" s="202"/>
      <c r="M1" s="203"/>
      <c r="N1" s="203"/>
      <c r="O1" s="204"/>
      <c r="P1" s="674" t="s">
        <v>358</v>
      </c>
      <c r="Q1" s="673"/>
      <c r="R1" s="673"/>
      <c r="S1" s="673"/>
      <c r="T1" s="205" t="s">
        <v>134</v>
      </c>
      <c r="U1" s="675">
        <f>기록부!T8</f>
        <v>1.25</v>
      </c>
      <c r="V1" s="673"/>
      <c r="W1" s="204" t="s">
        <v>215</v>
      </c>
    </row>
    <row r="2" spans="1:23" ht="16.5" customHeight="1">
      <c r="A2" s="670" t="s">
        <v>358</v>
      </c>
      <c r="B2" s="477"/>
      <c r="C2" s="477"/>
      <c r="D2" s="588"/>
      <c r="E2" s="670" t="s">
        <v>359</v>
      </c>
      <c r="F2" s="588"/>
      <c r="G2" s="670" t="s">
        <v>360</v>
      </c>
      <c r="H2" s="588"/>
      <c r="I2" s="679" t="s">
        <v>361</v>
      </c>
      <c r="J2" s="490"/>
      <c r="K2" s="490"/>
      <c r="L2" s="490"/>
      <c r="M2" s="490"/>
      <c r="N2" s="490"/>
      <c r="O2" s="490"/>
      <c r="P2" s="490"/>
      <c r="Q2" s="490"/>
      <c r="R2" s="490"/>
      <c r="S2" s="490"/>
      <c r="T2" s="490"/>
      <c r="U2" s="490"/>
      <c r="V2" s="490"/>
      <c r="W2" s="486"/>
    </row>
    <row r="3" spans="1:23" ht="16.5" customHeight="1">
      <c r="A3" s="524"/>
      <c r="B3" s="443"/>
      <c r="C3" s="443"/>
      <c r="D3" s="516"/>
      <c r="E3" s="524"/>
      <c r="F3" s="516"/>
      <c r="G3" s="524"/>
      <c r="H3" s="516"/>
      <c r="I3" s="679" t="s">
        <v>362</v>
      </c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86"/>
    </row>
    <row r="4" spans="1:23" ht="16.5" customHeight="1">
      <c r="A4" s="676" t="s">
        <v>363</v>
      </c>
      <c r="B4" s="507"/>
      <c r="C4" s="507"/>
      <c r="D4" s="505"/>
      <c r="E4" s="676" t="s">
        <v>364</v>
      </c>
      <c r="F4" s="505"/>
      <c r="G4" s="676" t="s">
        <v>365</v>
      </c>
      <c r="H4" s="505"/>
      <c r="I4" s="678" t="s">
        <v>119</v>
      </c>
      <c r="J4" s="490"/>
      <c r="K4" s="486"/>
      <c r="L4" s="678" t="s">
        <v>120</v>
      </c>
      <c r="M4" s="490"/>
      <c r="N4" s="486"/>
      <c r="O4" s="678" t="s">
        <v>121</v>
      </c>
      <c r="P4" s="490"/>
      <c r="Q4" s="486"/>
      <c r="R4" s="677" t="s">
        <v>122</v>
      </c>
      <c r="S4" s="490"/>
      <c r="T4" s="486"/>
      <c r="U4" s="678" t="s">
        <v>123</v>
      </c>
      <c r="V4" s="490"/>
      <c r="W4" s="486"/>
    </row>
    <row r="5" spans="1:23" ht="16.5" customHeight="1">
      <c r="A5" s="670" t="s">
        <v>366</v>
      </c>
      <c r="B5" s="477"/>
      <c r="C5" s="477"/>
      <c r="D5" s="588"/>
      <c r="E5" s="682">
        <v>1</v>
      </c>
      <c r="F5" s="588"/>
      <c r="G5" s="670">
        <v>4</v>
      </c>
      <c r="H5" s="588"/>
      <c r="I5" s="680" t="s">
        <v>367</v>
      </c>
      <c r="J5" s="333"/>
      <c r="K5" s="407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02"/>
      <c r="B6" s="475"/>
      <c r="C6" s="475"/>
      <c r="D6" s="521"/>
      <c r="E6" s="502"/>
      <c r="F6" s="521"/>
      <c r="G6" s="502"/>
      <c r="H6" s="521"/>
      <c r="I6" s="681" t="str">
        <f>IF(U1&gt;1,"",((U1/2)-(0.707*(U1/2))))</f>
        <v/>
      </c>
      <c r="J6" s="507"/>
      <c r="K6" s="505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70" t="s">
        <v>368</v>
      </c>
      <c r="B7" s="477"/>
      <c r="C7" s="477"/>
      <c r="D7" s="588"/>
      <c r="E7" s="670">
        <v>2</v>
      </c>
      <c r="F7" s="588"/>
      <c r="G7" s="670">
        <v>8</v>
      </c>
      <c r="H7" s="588"/>
      <c r="I7" s="680" t="s">
        <v>369</v>
      </c>
      <c r="J7" s="333"/>
      <c r="K7" s="407"/>
      <c r="L7" s="680" t="s">
        <v>370</v>
      </c>
      <c r="M7" s="333"/>
      <c r="N7" s="407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02"/>
      <c r="B8" s="475"/>
      <c r="C8" s="475"/>
      <c r="D8" s="521"/>
      <c r="E8" s="502"/>
      <c r="F8" s="521"/>
      <c r="G8" s="502"/>
      <c r="H8" s="521"/>
      <c r="I8" s="681">
        <f>IF(AND(U1&gt;1,U1&lt;=2),((U1/2)-(0.5*(U1/2))),"")</f>
        <v>0.3125</v>
      </c>
      <c r="J8" s="507"/>
      <c r="K8" s="505"/>
      <c r="L8" s="681">
        <f>IF(AND(U1&gt;1,U1&lt;=2),((U1/2)-(0.866*(U1/2))),"")</f>
        <v>8.3749999999999991E-2</v>
      </c>
      <c r="M8" s="507"/>
      <c r="N8" s="505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70" t="s">
        <v>371</v>
      </c>
      <c r="B9" s="477"/>
      <c r="C9" s="477"/>
      <c r="D9" s="588"/>
      <c r="E9" s="670">
        <v>3</v>
      </c>
      <c r="F9" s="588"/>
      <c r="G9" s="670">
        <v>12</v>
      </c>
      <c r="H9" s="588"/>
      <c r="I9" s="680" t="s">
        <v>372</v>
      </c>
      <c r="J9" s="333"/>
      <c r="K9" s="407"/>
      <c r="L9" s="680" t="s">
        <v>367</v>
      </c>
      <c r="M9" s="333"/>
      <c r="N9" s="407"/>
      <c r="O9" s="680" t="s">
        <v>373</v>
      </c>
      <c r="P9" s="333"/>
      <c r="Q9" s="407"/>
      <c r="R9" s="206"/>
      <c r="S9" s="206"/>
      <c r="T9" s="206"/>
      <c r="U9" s="206"/>
      <c r="V9" s="206"/>
      <c r="W9" s="207"/>
    </row>
    <row r="10" spans="1:23" ht="16.5" customHeight="1">
      <c r="A10" s="502"/>
      <c r="B10" s="475"/>
      <c r="C10" s="475"/>
      <c r="D10" s="521"/>
      <c r="E10" s="502"/>
      <c r="F10" s="521"/>
      <c r="G10" s="502"/>
      <c r="H10" s="521"/>
      <c r="I10" s="681" t="str">
        <f>IF(AND(U1&gt;2,U1&lt;=4),((U1/2)-(0.408*(U1/2))),"")</f>
        <v/>
      </c>
      <c r="J10" s="507"/>
      <c r="K10" s="505"/>
      <c r="L10" s="681" t="str">
        <f>IF(AND(U1&gt;2,U1&lt;=4),((U1/2)-(0.707*(U1/2))),"")</f>
        <v/>
      </c>
      <c r="M10" s="507"/>
      <c r="N10" s="505"/>
      <c r="O10" s="681" t="str">
        <f>IF(AND(U1&gt;2,U1&lt;=4),((U1/2)-(0.913*(U1/2))),"")</f>
        <v/>
      </c>
      <c r="P10" s="507"/>
      <c r="Q10" s="505"/>
      <c r="R10" s="206"/>
      <c r="S10" s="206"/>
      <c r="T10" s="206"/>
      <c r="U10" s="206"/>
      <c r="V10" s="206"/>
      <c r="W10" s="207"/>
    </row>
    <row r="11" spans="1:23" ht="16.5" customHeight="1">
      <c r="A11" s="670" t="s">
        <v>374</v>
      </c>
      <c r="B11" s="477"/>
      <c r="C11" s="477"/>
      <c r="D11" s="588"/>
      <c r="E11" s="670">
        <v>4</v>
      </c>
      <c r="F11" s="588"/>
      <c r="G11" s="670">
        <v>16</v>
      </c>
      <c r="H11" s="588"/>
      <c r="I11" s="680" t="s">
        <v>375</v>
      </c>
      <c r="J11" s="333"/>
      <c r="K11" s="407"/>
      <c r="L11" s="680" t="s">
        <v>376</v>
      </c>
      <c r="M11" s="333"/>
      <c r="N11" s="407"/>
      <c r="O11" s="680" t="s">
        <v>377</v>
      </c>
      <c r="P11" s="333"/>
      <c r="Q11" s="407"/>
      <c r="R11" s="680" t="s">
        <v>378</v>
      </c>
      <c r="S11" s="333"/>
      <c r="T11" s="407"/>
      <c r="U11" s="206"/>
      <c r="V11" s="206"/>
      <c r="W11" s="207"/>
    </row>
    <row r="12" spans="1:23" ht="16.5" customHeight="1">
      <c r="A12" s="502"/>
      <c r="B12" s="475"/>
      <c r="C12" s="475"/>
      <c r="D12" s="521"/>
      <c r="E12" s="502"/>
      <c r="F12" s="521"/>
      <c r="G12" s="502"/>
      <c r="H12" s="521"/>
      <c r="I12" s="681" t="str">
        <f>IF(AND(U1&gt;4,U1&lt;=4.5),((U1/2)-(0.354*(U1/2))),"")</f>
        <v/>
      </c>
      <c r="J12" s="507"/>
      <c r="K12" s="505"/>
      <c r="L12" s="681" t="str">
        <f>IF(AND(U1&gt;4,U1&lt;=4.5),((U1/2)-(0.612*(U1/2))),"")</f>
        <v/>
      </c>
      <c r="M12" s="507"/>
      <c r="N12" s="505"/>
      <c r="O12" s="681" t="str">
        <f>IF(AND(U1&gt;4,U1&lt;=4.5),((U1/2)-(0.791*(U1/2))),"")</f>
        <v/>
      </c>
      <c r="P12" s="507"/>
      <c r="Q12" s="505"/>
      <c r="R12" s="681" t="str">
        <f>IF(AND(U1&gt;4,U1&lt;=4.5),((U1/2)-(0.935*(U1/2))),"")</f>
        <v/>
      </c>
      <c r="S12" s="507"/>
      <c r="T12" s="505"/>
      <c r="U12" s="206"/>
      <c r="V12" s="206"/>
      <c r="W12" s="207"/>
    </row>
    <row r="13" spans="1:23" ht="16.5" customHeight="1">
      <c r="A13" s="670" t="s">
        <v>379</v>
      </c>
      <c r="B13" s="477"/>
      <c r="C13" s="477"/>
      <c r="D13" s="588"/>
      <c r="E13" s="670">
        <v>5</v>
      </c>
      <c r="F13" s="588"/>
      <c r="G13" s="670">
        <v>20</v>
      </c>
      <c r="H13" s="588"/>
      <c r="I13" s="680" t="s">
        <v>380</v>
      </c>
      <c r="J13" s="333"/>
      <c r="K13" s="407"/>
      <c r="L13" s="680" t="s">
        <v>381</v>
      </c>
      <c r="M13" s="333"/>
      <c r="N13" s="407"/>
      <c r="O13" s="680" t="s">
        <v>367</v>
      </c>
      <c r="P13" s="333"/>
      <c r="Q13" s="407"/>
      <c r="R13" s="680" t="s">
        <v>382</v>
      </c>
      <c r="S13" s="333"/>
      <c r="T13" s="333"/>
      <c r="U13" s="680" t="s">
        <v>383</v>
      </c>
      <c r="V13" s="333"/>
      <c r="W13" s="407"/>
    </row>
    <row r="14" spans="1:23" ht="16.5" customHeight="1">
      <c r="A14" s="502"/>
      <c r="B14" s="475"/>
      <c r="C14" s="475"/>
      <c r="D14" s="521"/>
      <c r="E14" s="502"/>
      <c r="F14" s="521"/>
      <c r="G14" s="502"/>
      <c r="H14" s="521"/>
      <c r="I14" s="681" t="str">
        <f>IF(U1&lt;=4.5,"",((U1/2)-(0.316*(U1/2))))</f>
        <v/>
      </c>
      <c r="J14" s="507"/>
      <c r="K14" s="505"/>
      <c r="L14" s="681" t="str">
        <f>IF(U1&lt;=4.5,"",((U1/2)-(0.548*(U1/2))))</f>
        <v/>
      </c>
      <c r="M14" s="507"/>
      <c r="N14" s="505"/>
      <c r="O14" s="681" t="str">
        <f>IF(U1&lt;=4.5,"",((U1/2)-(0.707*(U1/2))))</f>
        <v/>
      </c>
      <c r="P14" s="507"/>
      <c r="Q14" s="505"/>
      <c r="R14" s="681" t="str">
        <f>IF(U1&lt;=4.5,"",((U1/2)-(0.837*(U1/2))))</f>
        <v/>
      </c>
      <c r="S14" s="507"/>
      <c r="T14" s="507"/>
      <c r="U14" s="681" t="str">
        <f>IF(U1&lt;=4.5,"",((U1/2)-(0.949*(U1/2))))</f>
        <v/>
      </c>
      <c r="V14" s="507"/>
      <c r="W14" s="505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2026-08-28T06:11:03Z</dcterms:modified>
  <cp:version>1100.0100.01</cp:version>
</cp:coreProperties>
</file>