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기록지 양식(성적서용)" sheetId="8" state="hidden" r:id="rId2"/>
    <sheet name="연소가스" sheetId="9" state="hidden" r:id="rId3"/>
    <sheet name="기록부" sheetId="12" state="hidden" r:id="rId4"/>
    <sheet name="계산식" sheetId="13" state="hidden" r:id="rId5"/>
    <sheet name="측정점" sheetId="14" state="hidden" r:id="rId6"/>
  </sheets>
  <externalReferences>
    <externalReference r:id="rId7"/>
    <externalReference r:id="rId8"/>
  </externalReferences>
  <definedNames>
    <definedName name="_1Circ_Stac" localSheetId="1">#REF!</definedName>
    <definedName name="_3Rect_Stac" localSheetId="1">#REF!</definedName>
    <definedName name="Base_Run_Number" localSheetId="1">#REF!</definedName>
    <definedName name="Date" localSheetId="1">#REF!</definedName>
    <definedName name="Impinger_Case_ID" localSheetId="1">#REF!</definedName>
    <definedName name="Liner_Material" localSheetId="1">#REF!</definedName>
    <definedName name="M5R1_Bws" localSheetId="1">#REF!</definedName>
    <definedName name="M5R1_Cp" localSheetId="1">#REF!</definedName>
    <definedName name="M5R1_DHat" localSheetId="1">#REF!</definedName>
    <definedName name="M5R1_Dna" localSheetId="1">#REF!</definedName>
    <definedName name="M5R1_DPavgest" localSheetId="1">#REF!</definedName>
    <definedName name="M5R1_K" localSheetId="1">#REF!</definedName>
    <definedName name="M5R1_Mds" localSheetId="1">#REF!</definedName>
    <definedName name="M5R1_Pb" localSheetId="1">#REF!</definedName>
    <definedName name="M5R1_Pm" localSheetId="1">#REF!</definedName>
    <definedName name="M5R1_Ps" localSheetId="1">#REF!</definedName>
    <definedName name="M5R1_Pstatic" localSheetId="1">#REF!</definedName>
    <definedName name="M5R1_Qm" localSheetId="1">#REF!</definedName>
    <definedName name="M5R1_tm" localSheetId="1">#REF!</definedName>
    <definedName name="M5R1_ts" localSheetId="1">#REF!</definedName>
    <definedName name="M5R1_Y" localSheetId="1">#REF!</definedName>
    <definedName name="Meter_Cal_Factor" localSheetId="1">#REF!</definedName>
    <definedName name="Meter_ID" localSheetId="1">#REF!</definedName>
    <definedName name="Nozzle_Diam" localSheetId="1">#REF!</definedName>
    <definedName name="Nozzle_ID" localSheetId="1">#REF!</definedName>
    <definedName name="Operator" localSheetId="1">#REF!</definedName>
    <definedName name="Orifice_Coefficient_dHat" localSheetId="1">#REF!</definedName>
    <definedName name="Pitot_Coefficient" localSheetId="1">#REF!</definedName>
    <definedName name="Plant_Name" localSheetId="1">#REF!</definedName>
    <definedName name="_xlnm.Print_Area" localSheetId="0">'기록지(먼지)'!$E$1:$R$50</definedName>
    <definedName name="Probe_ID" localSheetId="1">#REF!</definedName>
    <definedName name="Probe_Length" localSheetId="1">#REF!</definedName>
    <definedName name="Project_Num" localSheetId="1">#REF!</definedName>
    <definedName name="Sample_Case_ID" localSheetId="1">#REF!</definedName>
    <definedName name="Sampling_Location" localSheetId="1">#REF!</definedName>
    <definedName name="가동방식" localSheetId="1">#REF!</definedName>
    <definedName name="건조로" localSheetId="1">#REF!</definedName>
    <definedName name="고정상방식" localSheetId="1">#REF!</definedName>
    <definedName name="고정화격자" localSheetId="1">#REF!</definedName>
    <definedName name="기록지01">'기록지(먼지)'!$F$42:$K$50</definedName>
    <definedName name="기록지02">'기록지(먼지)'!$M$42:$R$50</definedName>
    <definedName name="도가니로" localSheetId="1">#REF!</definedName>
    <definedName name="동" localSheetId="1">#REF!</definedName>
    <definedName name="로타리킬른" localSheetId="1">#REF!</definedName>
    <definedName name="반사로" localSheetId="1">#REF!</definedName>
    <definedName name="배소로" localSheetId="1">#REF!</definedName>
    <definedName name="배출량" localSheetId="1">#REF!</definedName>
    <definedName name="보정" localSheetId="1">#REF!</definedName>
    <definedName name="보정여부" localSheetId="1">#REF!</definedName>
    <definedName name="분무연속방식" localSheetId="1">#REF!</definedName>
    <definedName name="비소각시설" localSheetId="1">#REF!</definedName>
    <definedName name="사업장일반" localSheetId="1">#REF!</definedName>
    <definedName name="사업장일반1" localSheetId="1">#REF!</definedName>
    <definedName name="생활" localSheetId="1">#REF!</definedName>
    <definedName name="성적서">#REF!</definedName>
    <definedName name="소각시설" localSheetId="1">#REF!</definedName>
    <definedName name="소결로" localSheetId="1">#REF!</definedName>
    <definedName name="소성로" localSheetId="1">#REF!</definedName>
    <definedName name="시멘트" localSheetId="1">#REF!</definedName>
    <definedName name="알루미늄" localSheetId="1">#REF!</definedName>
    <definedName name="용융용해로" localSheetId="1">#REF!</definedName>
    <definedName name="유동상" localSheetId="1">#REF!</definedName>
    <definedName name="의료" localSheetId="1">#REF!</definedName>
    <definedName name="이동상방식" localSheetId="1">#REF!</definedName>
    <definedName name="이동화격자" localSheetId="1">#REF!</definedName>
    <definedName name="인자">#REF!</definedName>
    <definedName name="전기아크로" localSheetId="1">#REF!</definedName>
    <definedName name="전로" localSheetId="1">#REF!</definedName>
    <definedName name="전해로" localSheetId="1">#REF!</definedName>
    <definedName name="정련로" localSheetId="1">#REF!</definedName>
    <definedName name="지정" localSheetId="1">#REF!</definedName>
    <definedName name="해당권역" localSheetId="1">#REF!</definedName>
    <definedName name="회전상방식" localSheetId="1">#REF!</definedName>
  </definedNames>
  <calcPr calcId="144525"/>
</workbook>
</file>

<file path=xl/calcChain.xml><?xml version="1.0" encoding="utf-8"?>
<calcChain xmlns="http://schemas.openxmlformats.org/spreadsheetml/2006/main">
  <c r="U14" i="14" l="1"/>
  <c r="R14" i="14"/>
  <c r="O14" i="14"/>
  <c r="L14" i="14"/>
  <c r="I14" i="14"/>
  <c r="R12" i="14"/>
  <c r="O12" i="14"/>
  <c r="L12" i="14"/>
  <c r="I12" i="14"/>
  <c r="O10" i="14"/>
  <c r="L10" i="14"/>
  <c r="I10" i="14"/>
  <c r="L8" i="14"/>
  <c r="I8" i="14"/>
  <c r="I6" i="14"/>
  <c r="U1" i="14"/>
  <c r="L49" i="13"/>
  <c r="L48" i="13"/>
  <c r="L47" i="13"/>
  <c r="L46" i="13"/>
  <c r="L45" i="13"/>
  <c r="L44" i="13"/>
  <c r="L43" i="13"/>
  <c r="L42" i="13"/>
  <c r="L41" i="13"/>
  <c r="L40" i="13"/>
  <c r="R34" i="13"/>
  <c r="L33" i="13"/>
  <c r="L32" i="13"/>
  <c r="R28" i="13"/>
  <c r="L27" i="13"/>
  <c r="L26" i="13"/>
  <c r="L24" i="13"/>
  <c r="R20" i="13"/>
  <c r="L19" i="13"/>
  <c r="L18" i="13"/>
  <c r="L17" i="13"/>
  <c r="L16" i="13"/>
  <c r="L11" i="13"/>
  <c r="L10" i="13"/>
  <c r="L9" i="13"/>
  <c r="L8" i="13"/>
  <c r="P7" i="13"/>
  <c r="R1" i="13"/>
  <c r="AG30" i="12"/>
  <c r="AG29" i="12"/>
  <c r="AG28" i="12"/>
  <c r="AG27" i="12"/>
  <c r="U27" i="12"/>
  <c r="Q27" i="12"/>
  <c r="S24" i="12"/>
  <c r="M24" i="12"/>
  <c r="K24" i="12"/>
  <c r="I24" i="12"/>
  <c r="E24" i="12"/>
  <c r="C24" i="12"/>
  <c r="AI23" i="12"/>
  <c r="AH23" i="12"/>
  <c r="AG23" i="12"/>
  <c r="AF23" i="12"/>
  <c r="AE23" i="12"/>
  <c r="Q23" i="12"/>
  <c r="O23" i="12"/>
  <c r="G23" i="12"/>
  <c r="E23" i="12"/>
  <c r="M22" i="12"/>
  <c r="M21" i="12"/>
  <c r="AA20" i="12"/>
  <c r="M20" i="12"/>
  <c r="M19" i="12"/>
  <c r="M18" i="12"/>
  <c r="AA14" i="12"/>
  <c r="Y14" i="12"/>
  <c r="K14" i="12"/>
  <c r="K13" i="12"/>
  <c r="E13" i="12"/>
  <c r="AH12" i="12"/>
  <c r="K12" i="12"/>
  <c r="F12" i="12"/>
  <c r="K11" i="12"/>
  <c r="AH10" i="12"/>
  <c r="K10" i="12"/>
  <c r="AH9" i="12"/>
  <c r="AH7" i="12"/>
  <c r="V7" i="12"/>
  <c r="C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I29" i="1"/>
  <c r="P26" i="1"/>
  <c r="G26" i="1"/>
  <c r="L25" i="1"/>
  <c r="M20" i="1"/>
  <c r="K20" i="1"/>
  <c r="M19" i="1"/>
  <c r="K19" i="1"/>
  <c r="M18" i="1"/>
  <c r="K18" i="1"/>
  <c r="M17" i="1"/>
  <c r="K17" i="1"/>
  <c r="M16" i="1"/>
  <c r="K16" i="1"/>
  <c r="K7" i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<sst xmlns="http://schemas.openxmlformats.org/spreadsheetml/2006/main" count="554" uniqueCount="367">
  <si>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</si>
  <si>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</si>
  <si>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</si>
  <si>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</si>
  <si>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</si>
  <si>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</si>
  <si>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</si>
  <si>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</si>
  <si>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</si>
  <si>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</si>
  <si>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</si>
  <si>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</si>
  <si>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</si>
  <si>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</si>
  <si>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</si>
  <si>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</si>
  <si>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</si>
  <si>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</si>
  <si>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</si>
  <si>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</si>
  <si>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</si>
  <si>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</si>
  <si>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</si>
  <si>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</si>
  <si>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</si>
  <si>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</si>
  <si>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</si>
  <si>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</si>
  <si>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</si>
  <si>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</si>
  <si>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</si>
  <si>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</si>
  <si>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</si>
  <si>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</si>
  <si>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</si>
  <si>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</si>
  <si>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</si>
  <si>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</si>
  <si>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</si>
  <si>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</si>
  <si>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</si>
  <si>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</si>
  <si>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</si>
  <si>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</si>
  <si>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</si>
  <si>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</si>
  <si>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</si>
  <si>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</si>
  <si>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</si>
  <si>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</si>
  <si>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</si>
  <si>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</si>
  <si>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</si>
  <si>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</si>
  <si>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</si>
  <si>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</si>
  <si>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</si>
  <si>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</si>
  <si>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</si>
  <si>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</si>
  <si>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</si>
  <si>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</si>
  <si>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</si>
  <si>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</si>
  <si>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</si>
  <si>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</si>
  <si>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</si>
  <si>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</si>
  <si>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</si>
  <si>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</si>
  <si>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</si>
  <si>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</si>
  <si>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</si>
  <si>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</si>
  <si>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</si>
  <si>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</si>
  <si>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</si>
  <si>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</si>
  <si>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</si>
  <si>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</si>
  <si>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</si>
  <si>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</si>
  <si>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</si>
  <si>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</si>
  <si>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</si>
  <si>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</si>
  <si>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</si>
  <si>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</si>
  <si>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</si>
  <si>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</si>
  <si>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</si>
  <si>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</si>
  <si>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</si>
  <si>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</si>
  <si>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</si>
  <si>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</si>
  <si>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</si>
  <si>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</si>
  <si>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</si>
  <si>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</si>
  <si>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</si>
  <si>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</si>
  <si>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</si>
  <si>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</si>
  <si>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</si>
  <si>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</si>
  <si>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</si>
  <si>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</si>
  <si>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</si>
  <si>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</si>
  <si>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</si>
  <si>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</si>
  <si>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</si>
  <si>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</si>
  <si>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</si>
  <si>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</si>
  <si>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</si>
  <si>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</si>
  <si>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</si>
  <si>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</si>
  <si>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</si>
  <si>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</si>
  <si>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</si>
  <si>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</si>
  <si>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</si>
  <si>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:</t>
  </si>
  <si>
    <t>=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</si>
  <si>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</si>
  <si>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</si>
  <si>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</si>
  <si>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</si>
  <si>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</si>
  <si>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</si>
  <si>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</si>
  <si>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</si>
  <si>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</si>
  <si>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</si>
  <si>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</si>
  <si>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</si>
  <si>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</si>
  <si>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</si>
  <si>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</si>
  <si>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</si>
  <si>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</si>
  <si>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</si>
  <si>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</si>
  <si>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</si>
  <si>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</si>
  <si>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</si>
  <si>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</si>
  <si>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</si>
  <si>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</si>
  <si>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</si>
  <si>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</si>
  <si>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</si>
  <si>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</si>
  <si>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</si>
  <si>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</si>
  <si>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</si>
  <si>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</si>
  <si>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</si>
  <si>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</si>
  <si>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</si>
  <si>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</si>
  <si>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</si>
  <si>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</si>
  <si>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</si>
  <si>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</si>
  <si>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</si>
  <si>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</si>
  <si>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</si>
  <si>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</si>
  <si>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</si>
  <si>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</si>
  <si>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</si>
  <si>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</si>
  <si>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</si>
  <si>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</si>
  <si>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</si>
  <si>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</si>
  <si>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</si>
  <si>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</si>
  <si>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</si>
  <si>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</si>
  <si>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</si>
  <si>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</si>
  <si>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</si>
  <si>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</si>
  <si>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</si>
  <si>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</si>
  <si>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</si>
  <si>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</si>
  <si>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</si>
  <si>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</si>
  <si>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</si>
  <si>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</si>
  <si>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</si>
  <si>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</si>
  <si>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</si>
  <si>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</si>
  <si>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</si>
  <si>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</si>
  <si>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</si>
  <si>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</si>
  <si>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</si>
  <si>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</si>
  <si>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</si>
  <si>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</si>
  <si>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</si>
  <si>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</si>
  <si>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</si>
  <si>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</si>
  <si>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</si>
  <si>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</si>
  <si>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</si>
  <si>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</si>
  <si>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</si>
  <si>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</si>
  <si>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</si>
  <si>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</si>
  <si>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</si>
  <si>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</si>
  <si>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</si>
  <si>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</si>
  <si>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</si>
  <si>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</si>
  <si>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</si>
  <si>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</si>
  <si>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</si>
  <si>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</si>
  <si>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</si>
  <si>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</si>
  <si>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</si>
  <si>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</si>
  <si>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</si>
  <si>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</si>
  <si>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</si>
  <si>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</si>
  <si>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</si>
  <si>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</si>
  <si>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</si>
  <si>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</si>
  <si>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</si>
  <si>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</si>
  <si>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</si>
  <si>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</si>
  <si>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</si>
  <si>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</si>
  <si>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</si>
  <si>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</si>
  <si>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</si>
  <si>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</si>
  <si>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</si>
  <si>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</si>
  <si>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</si>
  <si>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</si>
  <si>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</si>
  <si>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</si>
  <si>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</si>
  <si>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</si>
  <si>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</si>
  <si>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</si>
  <si>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</si>
  <si>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</si>
  <si>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</si>
  <si>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</si>
  <si>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</si>
  <si>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</si>
  <si>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</si>
  <si>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</si>
  <si>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</si>
  <si>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</si>
  <si>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</si>
  <si>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</si>
  <si>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</si>
  <si>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</si>
  <si>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</si>
  <si>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</si>
  <si>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</si>
  <si>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</si>
  <si>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</si>
  <si>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</si>
  <si>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</si>
  <si>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</si>
  <si>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</si>
  <si>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</si>
  <si>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</si>
  <si>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</si>
  <si>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</si>
  <si>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</si>
  <si>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</si>
  <si>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</si>
  <si>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</si>
  <si>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</si>
  <si>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</si>
  <si>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</si>
  <si>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</si>
  <si>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</si>
  <si>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</si>
  <si>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</si>
  <si>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</si>
  <si>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</si>
  <si>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</si>
  <si>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</si>
  <si>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</si>
  <si>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</si>
  <si>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</si>
  <si>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</si>
  <si>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</si>
  <si>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</si>
  <si>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</si>
  <si>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</si>
  <si>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</si>
  <si>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</si>
  <si>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</si>
  <si>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</si>
  <si>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</si>
  <si>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</si>
  <si>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</si>
  <si>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</si>
  <si>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</si>
  <si>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</si>
  <si>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</si>
  <si>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</si>
  <si>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</si>
  <si>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</si>
  <si>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</si>
  <si>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</si>
  <si>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</si>
  <si>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</si>
  <si>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</si>
  <si>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</si>
  <si>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</si>
  <si>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</si>
  <si>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채 취 량
(L)</t>
    <phoneticPr fontId="53" type="noConversion"/>
  </si>
  <si>
    <t>대 기 시 료 채 취 기 록 지</t>
    <phoneticPr fontId="53" type="noConversion"/>
  </si>
  <si>
    <t>수분 흡습관법</t>
    <phoneticPr fontId="53" type="noConversion"/>
  </si>
  <si>
    <t>수분자동측정법</t>
    <phoneticPr fontId="53" type="noConversion"/>
  </si>
  <si>
    <t>여과지
홀  더
온  도
(℃)</t>
    <phoneticPr fontId="53" type="noConversion"/>
  </si>
  <si>
    <t>최      종
임  핀  저
출구온도
(℃)</t>
    <phoneticPr fontId="53" type="noConversion"/>
  </si>
  <si>
    <t>3. 기타 항목(가스상) 측정 조건</t>
    <phoneticPr fontId="53" type="noConversion"/>
  </si>
  <si>
    <t>시    설    명</t>
    <phoneticPr fontId="53" type="noConversion"/>
  </si>
  <si>
    <t>항목</t>
    <phoneticPr fontId="53" type="noConversion"/>
  </si>
  <si>
    <t xml:space="preserve"> 굴    뚝    내    경 </t>
    <phoneticPr fontId="53" type="noConversion"/>
  </si>
  <si>
    <t>측 정 대 행 기 관</t>
    <phoneticPr fontId="53" type="noConversion"/>
  </si>
  <si>
    <t>포인트</t>
    <phoneticPr fontId="53" type="noConversion"/>
  </si>
  <si>
    <t>접 수 번 호</t>
    <phoneticPr fontId="53" type="noConversion"/>
  </si>
  <si>
    <t>책임기술자</t>
    <phoneticPr fontId="53" type="noConversion"/>
  </si>
  <si>
    <t>총 채취시간</t>
    <phoneticPr fontId="53" type="noConversion"/>
  </si>
  <si>
    <t>담당자(정)</t>
    <phoneticPr fontId="53" type="noConversion"/>
  </si>
  <si>
    <t>담당자(부)</t>
    <phoneticPr fontId="53" type="noConversion"/>
  </si>
  <si>
    <t>누 출 검 사</t>
    <phoneticPr fontId="53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</si>
  <si>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3" type="noConversion"/>
  </si>
  <si>
    <t>오리피스압차
(mmH2O)</t>
    <phoneticPr fontId="53" type="noConversion"/>
  </si>
  <si>
    <t>기    온</t>
    <phoneticPr fontId="53" type="noConversion"/>
  </si>
  <si>
    <t>기    상</t>
    <phoneticPr fontId="53" type="noConversion"/>
  </si>
  <si>
    <t>풍    향</t>
    <phoneticPr fontId="53" type="noConversion"/>
  </si>
  <si>
    <t>습    도</t>
    <phoneticPr fontId="53" type="noConversion"/>
  </si>
  <si>
    <t>풍    속</t>
    <phoneticPr fontId="53" type="noConversion"/>
  </si>
  <si>
    <t>시료채취시간</t>
    <phoneticPr fontId="53" type="noConversion"/>
  </si>
  <si>
    <t>~</t>
    <phoneticPr fontId="53" type="noConversion"/>
  </si>
  <si>
    <t>유속 (m/s)</t>
    <phoneticPr fontId="53" type="noConversion"/>
  </si>
  <si>
    <t>유량(Qa) (Sm3/min)</t>
    <phoneticPr fontId="53" type="noConversion"/>
  </si>
  <si>
    <t>유량 (산소보정 후)
(Sm3/min)</t>
    <phoneticPr fontId="53" type="noConversion"/>
  </si>
  <si>
    <t>2. 입자상 측정조건</t>
    <phoneticPr fontId="53" type="noConversion"/>
  </si>
  <si>
    <t>배   출
가   스
온   도
(℃)</t>
    <phoneticPr fontId="53" type="noConversion"/>
  </si>
  <si>
    <t>적산 유량계(L)</t>
    <phoneticPr fontId="5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</si>
</sst>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yyyy&quot;년&quot;\ m&quot;월&quot;\ d&quot;일&quot;"/>
    <numFmt numFmtId="192" formatCode="0.00000"/>
    <numFmt numFmtId="193" formatCode="0.000000"/>
    <numFmt numFmtId="194" formatCode="0.00000_);[Red]\(0.00000\)"/>
    <numFmt numFmtId="195" formatCode="General&quot; m&quot;"/>
    <numFmt numFmtId="197" formatCode="0.0\ &quot;%&quot;"/>
  </numFmts>
  <fonts count="61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</fills>
  <borders count="18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39" fillId="0" borderId="80">
      <alignment vertical="center"/>
    </xf>
    <xf numFmtId="9" fontId="39" fillId="0" borderId="80">
      <alignment vertical="center"/>
    </xf>
    <xf numFmtId="0" fontId="39" fillId="0" borderId="80">
      <alignment vertical="center"/>
    </xf>
    <xf numFmtId="41" fontId="39" fillId="0" borderId="80" applyFont="0" applyFill="0" applyBorder="0" applyAlignment="0" applyProtection="0">
      <alignment vertical="center"/>
    </xf>
    <xf numFmtId="0" fontId="54" fillId="0" borderId="80"/>
  </cellStyleXfs>
  <cellXfs count="603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1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9" borderId="109" xfId="0" applyFont="1" applyFill="1" applyBorder="1" applyAlignment="1">
      <alignment horizontal="center" vertical="center"/>
    </xf>
    <xf numFmtId="181" fontId="1" fillId="9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9" borderId="56" xfId="0" applyFont="1" applyFill="1" applyBorder="1" applyAlignment="1">
      <alignment horizontal="center" vertical="center"/>
    </xf>
    <xf numFmtId="181" fontId="1" fillId="9" borderId="19" xfId="0" applyNumberFormat="1" applyFont="1" applyFill="1" applyBorder="1" applyAlignment="1">
      <alignment horizontal="center" vertical="center"/>
    </xf>
    <xf numFmtId="181" fontId="1" fillId="9" borderId="41" xfId="0" applyNumberFormat="1" applyFont="1" applyFill="1" applyBorder="1" applyAlignment="1">
      <alignment horizontal="center" vertical="center"/>
    </xf>
    <xf numFmtId="0" fontId="1" fillId="9" borderId="71" xfId="0" applyFont="1" applyFill="1" applyBorder="1" applyAlignment="1">
      <alignment horizontal="center" vertical="center"/>
    </xf>
    <xf numFmtId="181" fontId="1" fillId="9" borderId="29" xfId="0" applyNumberFormat="1" applyFont="1" applyFill="1" applyBorder="1" applyAlignment="1">
      <alignment horizontal="center" vertical="center"/>
    </xf>
    <xf numFmtId="181" fontId="1" fillId="9" borderId="59" xfId="0" applyNumberFormat="1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181" fontId="1" fillId="10" borderId="110" xfId="0" applyNumberFormat="1" applyFont="1" applyFill="1" applyBorder="1" applyAlignment="1">
      <alignment horizontal="center"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14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8" fillId="0" borderId="14" xfId="0" applyFont="1" applyBorder="1" applyAlignment="1">
      <alignment horizontal="left" vertical="center"/>
    </xf>
    <xf numFmtId="0" fontId="18" fillId="0" borderId="17" xfId="0" applyFont="1" applyBorder="1" applyAlignment="1">
      <alignment vertical="center"/>
    </xf>
    <xf numFmtId="0" fontId="18" fillId="0" borderId="17" xfId="0" applyFont="1" applyBorder="1" applyAlignment="1">
      <alignment horizontal="left" vertical="center"/>
    </xf>
    <xf numFmtId="0" fontId="18" fillId="0" borderId="68" xfId="0" applyFont="1" applyBorder="1" applyAlignment="1">
      <alignment vertical="center"/>
    </xf>
    <xf numFmtId="0" fontId="18" fillId="0" borderId="37" xfId="0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0" fontId="18" fillId="0" borderId="12" xfId="0" applyFont="1" applyBorder="1" applyAlignment="1">
      <alignment horizontal="left" vertical="center"/>
    </xf>
    <xf numFmtId="0" fontId="18" fillId="0" borderId="13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9" fillId="10" borderId="6" xfId="0" applyFont="1" applyFill="1" applyBorder="1" applyAlignment="1">
      <alignment horizontal="right" vertical="center"/>
    </xf>
    <xf numFmtId="189" fontId="9" fillId="10" borderId="6" xfId="0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vertical="center"/>
    </xf>
    <xf numFmtId="0" fontId="18" fillId="5" borderId="63" xfId="0" applyFont="1" applyFill="1" applyBorder="1" applyAlignment="1">
      <alignment vertical="center"/>
    </xf>
    <xf numFmtId="0" fontId="18" fillId="0" borderId="11" xfId="0" applyFont="1" applyBorder="1" applyAlignment="1">
      <alignment vertical="center"/>
    </xf>
    <xf numFmtId="0" fontId="18" fillId="5" borderId="46" xfId="0" applyFont="1" applyFill="1" applyBorder="1" applyAlignment="1">
      <alignment horizontal="center" vertical="center"/>
    </xf>
    <xf numFmtId="189" fontId="13" fillId="0" borderId="0" xfId="0" applyNumberFormat="1" applyFont="1" applyAlignment="1">
      <alignment vertical="center"/>
    </xf>
    <xf numFmtId="0" fontId="18" fillId="0" borderId="18" xfId="0" applyFont="1" applyBorder="1" applyAlignment="1">
      <alignment vertical="center"/>
    </xf>
    <xf numFmtId="0" fontId="18" fillId="0" borderId="16" xfId="0" applyFont="1" applyBorder="1" applyAlignment="1">
      <alignment horizontal="left" vertical="center"/>
    </xf>
    <xf numFmtId="0" fontId="19" fillId="0" borderId="121" xfId="0" applyFont="1" applyBorder="1" applyAlignment="1">
      <alignment vertical="center"/>
    </xf>
    <xf numFmtId="192" fontId="13" fillId="0" borderId="0" xfId="0" applyNumberFormat="1" applyFont="1" applyAlignment="1">
      <alignment vertical="center"/>
    </xf>
    <xf numFmtId="0" fontId="18" fillId="0" borderId="11" xfId="0" applyFont="1" applyBorder="1" applyAlignment="1">
      <alignment horizontal="left" vertical="center"/>
    </xf>
    <xf numFmtId="0" fontId="18" fillId="0" borderId="12" xfId="0" applyFont="1" applyBorder="1" applyAlignment="1">
      <alignment horizontal="center" vertical="center"/>
    </xf>
    <xf numFmtId="0" fontId="19" fillId="0" borderId="18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8" fillId="5" borderId="122" xfId="0" applyFont="1" applyFill="1" applyBorder="1" applyAlignment="1">
      <alignment horizontal="center" vertical="center"/>
    </xf>
    <xf numFmtId="0" fontId="18" fillId="0" borderId="7" xfId="0" applyFont="1" applyBorder="1" applyAlignment="1">
      <alignment horizontal="left" vertical="center"/>
    </xf>
    <xf numFmtId="0" fontId="18" fillId="0" borderId="1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193" fontId="13" fillId="0" borderId="0" xfId="0" applyNumberFormat="1" applyFont="1" applyAlignment="1">
      <alignment vertical="center"/>
    </xf>
    <xf numFmtId="0" fontId="20" fillId="0" borderId="20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18" fillId="5" borderId="6" xfId="0" applyFont="1" applyFill="1" applyBorder="1" applyAlignment="1">
      <alignment vertical="center"/>
    </xf>
    <xf numFmtId="2" fontId="18" fillId="0" borderId="0" xfId="0" applyNumberFormat="1" applyFont="1" applyAlignment="1">
      <alignment horizontal="center" vertical="center"/>
    </xf>
    <xf numFmtId="0" fontId="19" fillId="0" borderId="26" xfId="0" applyFont="1" applyBorder="1" applyAlignment="1">
      <alignment vertical="center"/>
    </xf>
    <xf numFmtId="0" fontId="18" fillId="0" borderId="15" xfId="0" applyFont="1" applyBorder="1" applyAlignment="1">
      <alignment vertical="center"/>
    </xf>
    <xf numFmtId="0" fontId="18" fillId="0" borderId="17" xfId="0" applyFont="1" applyBorder="1" applyAlignment="1">
      <alignment horizontal="center" vertical="center"/>
    </xf>
    <xf numFmtId="0" fontId="18" fillId="0" borderId="68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3" fillId="11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1" fillId="0" borderId="127" xfId="0" applyNumberFormat="1" applyFont="1" applyBorder="1" applyAlignment="1">
      <alignment horizontal="center" vertical="center"/>
    </xf>
    <xf numFmtId="189" fontId="21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6" fillId="0" borderId="1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3" fillId="0" borderId="99" xfId="0" applyFont="1" applyBorder="1" applyAlignment="1">
      <alignment horizontal="center" vertical="center" wrapText="1"/>
    </xf>
    <xf numFmtId="0" fontId="23" fillId="0" borderId="131" xfId="0" applyFont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9" fillId="0" borderId="131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92" fontId="19" fillId="0" borderId="131" xfId="0" applyNumberFormat="1" applyFont="1" applyBorder="1" applyAlignment="1">
      <alignment horizontal="center" vertical="center"/>
    </xf>
    <xf numFmtId="0" fontId="18" fillId="0" borderId="53" xfId="0" applyFont="1" applyBorder="1" applyAlignment="1">
      <alignment vertical="center"/>
    </xf>
    <xf numFmtId="0" fontId="18" fillId="0" borderId="56" xfId="0" applyFont="1" applyBorder="1" applyAlignment="1">
      <alignment horizontal="center" vertical="center"/>
    </xf>
    <xf numFmtId="0" fontId="24" fillId="0" borderId="132" xfId="0" applyFont="1" applyBorder="1" applyAlignment="1">
      <alignment horizontal="center" vertical="center" wrapText="1"/>
    </xf>
    <xf numFmtId="0" fontId="25" fillId="0" borderId="133" xfId="0" applyFont="1" applyBorder="1" applyAlignment="1">
      <alignment horizontal="center" vertical="center" wrapText="1"/>
    </xf>
    <xf numFmtId="0" fontId="25" fillId="0" borderId="134" xfId="0" applyFont="1" applyBorder="1" applyAlignment="1">
      <alignment horizontal="center" vertical="center" wrapText="1"/>
    </xf>
    <xf numFmtId="0" fontId="24" fillId="0" borderId="135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136" xfId="0" applyFont="1" applyBorder="1" applyAlignment="1">
      <alignment horizontal="center" vertical="center" wrapText="1"/>
    </xf>
    <xf numFmtId="0" fontId="24" fillId="0" borderId="137" xfId="0" applyFont="1" applyBorder="1" applyAlignment="1">
      <alignment horizontal="center" vertical="center" wrapText="1"/>
    </xf>
    <xf numFmtId="0" fontId="26" fillId="0" borderId="138" xfId="0" applyFont="1" applyBorder="1" applyAlignment="1">
      <alignment horizontal="center" vertical="center" wrapText="1"/>
    </xf>
    <xf numFmtId="0" fontId="26" fillId="0" borderId="139" xfId="0" applyFont="1" applyBorder="1" applyAlignment="1">
      <alignment horizontal="center" vertical="center" wrapText="1"/>
    </xf>
    <xf numFmtId="0" fontId="17" fillId="0" borderId="20" xfId="0" applyFont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17" fillId="0" borderId="57" xfId="0" applyFont="1" applyBorder="1" applyAlignment="1">
      <alignment vertical="center"/>
    </xf>
    <xf numFmtId="0" fontId="17" fillId="0" borderId="32" xfId="0" applyFont="1" applyBorder="1" applyAlignment="1">
      <alignment vertical="center"/>
    </xf>
    <xf numFmtId="0" fontId="17" fillId="0" borderId="31" xfId="0" applyFont="1" applyBorder="1" applyAlignment="1">
      <alignment vertical="center"/>
    </xf>
    <xf numFmtId="0" fontId="1" fillId="12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4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4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7" fillId="0" borderId="68" xfId="0" applyNumberFormat="1" applyFont="1" applyBorder="1" applyAlignment="1">
      <alignment horizontal="center" vertical="center"/>
    </xf>
    <xf numFmtId="0" fontId="1" fillId="14" borderId="145" xfId="0" applyFont="1" applyFill="1" applyBorder="1" applyAlignment="1">
      <alignment horizontal="center" vertical="center"/>
    </xf>
    <xf numFmtId="0" fontId="1" fillId="14" borderId="65" xfId="0" applyFont="1" applyFill="1" applyBorder="1" applyAlignment="1">
      <alignment horizontal="center" vertical="center"/>
    </xf>
    <xf numFmtId="0" fontId="1" fillId="12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4" borderId="147" xfId="0" applyFont="1" applyFill="1" applyBorder="1" applyAlignment="1">
      <alignment horizontal="center" vertical="center"/>
    </xf>
    <xf numFmtId="0" fontId="1" fillId="14" borderId="148" xfId="0" applyFont="1" applyFill="1" applyBorder="1" applyAlignment="1">
      <alignment horizontal="center" vertical="center"/>
    </xf>
    <xf numFmtId="0" fontId="1" fillId="14" borderId="149" xfId="0" applyFont="1" applyFill="1" applyBorder="1" applyAlignment="1">
      <alignment horizontal="center" vertical="center"/>
    </xf>
    <xf numFmtId="0" fontId="1" fillId="14" borderId="150" xfId="0" applyFont="1" applyFill="1" applyBorder="1" applyAlignment="1">
      <alignment horizontal="center" vertical="center"/>
    </xf>
    <xf numFmtId="0" fontId="30" fillId="3" borderId="6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4" fillId="3" borderId="6" xfId="0" applyFont="1" applyFill="1" applyBorder="1" applyAlignment="1">
      <alignment horizontal="center" vertical="center"/>
    </xf>
    <xf numFmtId="178" fontId="36" fillId="3" borderId="6" xfId="0" applyNumberFormat="1" applyFont="1" applyFill="1" applyBorder="1" applyAlignment="1">
      <alignment horizontal="center" vertical="center"/>
    </xf>
    <xf numFmtId="178" fontId="36" fillId="3" borderId="15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0" xfId="0" applyNumberFormat="1" applyFont="1" applyBorder="1" applyAlignment="1">
      <alignment horizontal="center" vertical="center"/>
    </xf>
    <xf numFmtId="0" fontId="4" fillId="0" borderId="163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65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195" fontId="55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5" borderId="27" xfId="0" applyNumberFormat="1" applyFont="1" applyFill="1" applyBorder="1" applyAlignment="1" applyProtection="1">
      <alignment horizontal="center" vertical="center"/>
      <protection locked="0"/>
    </xf>
    <xf numFmtId="20" fontId="2" fillId="15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5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5" borderId="19" xfId="0" applyFont="1" applyFill="1" applyBorder="1" applyAlignment="1" applyProtection="1">
      <alignment horizontal="center" vertical="center"/>
      <protection locked="0"/>
    </xf>
    <xf numFmtId="0" fontId="4" fillId="15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4" fillId="15" borderId="23" xfId="0" applyFont="1" applyFill="1" applyBorder="1" applyAlignment="1" applyProtection="1">
      <alignment horizontal="center" vertical="center"/>
      <protection locked="0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5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5" borderId="42" xfId="0" applyFont="1" applyFill="1" applyBorder="1" applyAlignment="1" applyProtection="1">
      <alignment vertical="center"/>
      <protection locked="0"/>
    </xf>
    <xf numFmtId="0" fontId="3" fillId="15" borderId="46" xfId="0" applyFont="1" applyFill="1" applyBorder="1" applyAlignment="1" applyProtection="1">
      <alignment vertical="center"/>
      <protection locked="0"/>
    </xf>
    <xf numFmtId="0" fontId="3" fillId="15" borderId="66" xfId="0" applyFont="1" applyFill="1" applyBorder="1" applyAlignment="1" applyProtection="1">
      <alignment vertical="center"/>
      <protection locked="0"/>
    </xf>
    <xf numFmtId="0" fontId="3" fillId="15" borderId="26" xfId="0" applyFont="1" applyFill="1" applyBorder="1" applyAlignment="1" applyProtection="1">
      <alignment vertical="center"/>
      <protection locked="0"/>
    </xf>
    <xf numFmtId="0" fontId="4" fillId="15" borderId="175" xfId="0" applyFont="1" applyFill="1" applyBorder="1" applyAlignment="1" applyProtection="1">
      <alignment horizontal="center" vertical="center"/>
      <protection locked="0"/>
    </xf>
    <xf numFmtId="0" fontId="4" fillId="15" borderId="176" xfId="0" applyFont="1" applyFill="1" applyBorder="1" applyAlignment="1" applyProtection="1">
      <alignment horizontal="center" vertical="center"/>
      <protection locked="0"/>
    </xf>
    <xf numFmtId="0" fontId="2" fillId="16" borderId="174" xfId="0" applyFont="1" applyFill="1" applyBorder="1" applyAlignment="1">
      <alignment horizontal="center" vertical="center" wrapText="1"/>
    </xf>
    <xf numFmtId="0" fontId="2" fillId="16" borderId="177" xfId="0" applyFont="1" applyFill="1" applyBorder="1" applyAlignment="1">
      <alignment horizontal="center" vertical="center" wrapText="1"/>
    </xf>
    <xf numFmtId="0" fontId="2" fillId="16" borderId="178" xfId="0" applyFont="1" applyFill="1" applyBorder="1" applyAlignment="1">
      <alignment horizontal="center" vertical="center" wrapText="1"/>
    </xf>
    <xf numFmtId="20" fontId="55" fillId="15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0" fillId="18" borderId="165" xfId="0" applyNumberFormat="1" applyFont="1" applyFill="1" applyBorder="1" applyAlignment="1" applyProtection="1">
      <alignment horizontal="center" vertical="center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 wrapText="1"/>
    </xf>
    <xf numFmtId="20" fontId="55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55" fillId="15" borderId="78" xfId="0" applyNumberFormat="1" applyFont="1" applyFill="1" applyBorder="1" applyAlignment="1">
      <alignment horizontal="center" vertical="center"/>
    </xf>
    <xf numFmtId="0" fontId="55" fillId="15" borderId="78" xfId="0" applyFont="1" applyFill="1" applyBorder="1" applyAlignment="1">
      <alignment horizontal="center" vertical="center"/>
    </xf>
    <xf numFmtId="0" fontId="55" fillId="0" borderId="80" xfId="0" applyFont="1" applyFill="1" applyBorder="1" applyAlignment="1">
      <alignment horizontal="center" vertical="center"/>
    </xf>
    <xf numFmtId="181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0" fontId="4" fillId="15" borderId="81" xfId="0" applyNumberFormat="1" applyFont="1" applyFill="1" applyBorder="1" applyAlignment="1" applyProtection="1">
      <alignment horizontal="center" vertical="center"/>
      <protection locked="0"/>
    </xf>
    <xf numFmtId="0" fontId="3" fillId="15" borderId="24" xfId="0" applyNumberFormat="1" applyFont="1" applyFill="1" applyBorder="1" applyAlignment="1" applyProtection="1">
      <alignment horizontal="center" vertical="center"/>
      <protection locked="0"/>
    </xf>
    <xf numFmtId="0" fontId="3" fillId="15" borderId="78" xfId="0" applyNumberFormat="1" applyFont="1" applyFill="1" applyBorder="1" applyAlignment="1" applyProtection="1">
      <alignment horizontal="center" vertical="center"/>
      <protection locked="0"/>
    </xf>
    <xf numFmtId="0" fontId="3" fillId="15" borderId="146" xfId="0" applyNumberFormat="1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59" fillId="0" borderId="63" xfId="0" applyFont="1" applyBorder="1" applyAlignment="1">
      <alignment vertical="center"/>
    </xf>
    <xf numFmtId="0" fontId="59" fillId="0" borderId="42" xfId="0" applyFont="1" applyBorder="1" applyAlignment="1">
      <alignment vertical="center"/>
    </xf>
    <xf numFmtId="0" fontId="2" fillId="0" borderId="159" xfId="0" applyFont="1" applyBorder="1" applyAlignment="1">
      <alignment horizontal="center" vertical="center"/>
    </xf>
    <xf numFmtId="0" fontId="2" fillId="0" borderId="156" xfId="0" applyFont="1" applyBorder="1" applyAlignment="1">
      <alignment horizontal="center" vertical="center"/>
    </xf>
    <xf numFmtId="0" fontId="2" fillId="0" borderId="161" xfId="0" applyFont="1" applyBorder="1" applyAlignment="1">
      <alignment horizontal="center" vertical="center"/>
    </xf>
    <xf numFmtId="0" fontId="2" fillId="0" borderId="108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151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144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4" fillId="15" borderId="23" xfId="0" applyNumberFormat="1" applyFont="1" applyFill="1" applyBorder="1" applyAlignment="1" applyProtection="1">
      <alignment horizontal="center" vertical="center"/>
      <protection locked="0"/>
    </xf>
    <xf numFmtId="0" fontId="3" fillId="15" borderId="58" xfId="0" applyNumberFormat="1" applyFont="1" applyFill="1" applyBorder="1" applyAlignment="1" applyProtection="1">
      <alignment horizontal="center" vertical="center"/>
      <protection locked="0"/>
    </xf>
    <xf numFmtId="0" fontId="2" fillId="0" borderId="40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4" fillId="15" borderId="47" xfId="0" applyNumberFormat="1" applyFont="1" applyFill="1" applyBorder="1" applyAlignment="1" applyProtection="1">
      <alignment horizontal="center" vertical="center"/>
      <protection locked="0"/>
    </xf>
    <xf numFmtId="0" fontId="4" fillId="15" borderId="48" xfId="0" applyNumberFormat="1" applyFont="1" applyFill="1" applyBorder="1" applyAlignment="1" applyProtection="1">
      <alignment horizontal="center" vertical="center"/>
      <protection locked="0"/>
    </xf>
    <xf numFmtId="0" fontId="4" fillId="15" borderId="30" xfId="0" applyNumberFormat="1" applyFont="1" applyFill="1" applyBorder="1" applyAlignment="1" applyProtection="1">
      <alignment horizontal="center" vertical="center"/>
      <protection locked="0"/>
    </xf>
    <xf numFmtId="0" fontId="4" fillId="15" borderId="72" xfId="0" applyNumberFormat="1" applyFont="1" applyFill="1" applyBorder="1" applyAlignment="1" applyProtection="1">
      <alignment horizontal="center" vertical="center"/>
      <protection locked="0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62" xfId="0" applyFont="1" applyBorder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2" borderId="164" xfId="0" applyFont="1" applyFill="1" applyBorder="1" applyAlignment="1">
      <alignment horizontal="center" vertical="center" wrapText="1"/>
    </xf>
    <xf numFmtId="2" fontId="4" fillId="15" borderId="40" xfId="0" applyNumberFormat="1" applyFont="1" applyFill="1" applyBorder="1" applyAlignment="1" applyProtection="1">
      <alignment horizontal="center" vertical="center"/>
      <protection locked="0"/>
    </xf>
    <xf numFmtId="0" fontId="3" fillId="15" borderId="63" xfId="0" applyFont="1" applyFill="1" applyBorder="1" applyAlignment="1" applyProtection="1">
      <alignment vertical="center"/>
      <protection locked="0"/>
    </xf>
    <xf numFmtId="0" fontId="3" fillId="15" borderId="46" xfId="0" applyFont="1" applyFill="1" applyBorder="1" applyAlignment="1" applyProtection="1">
      <alignment vertical="center"/>
      <protection locked="0"/>
    </xf>
    <xf numFmtId="0" fontId="2" fillId="0" borderId="63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0" fontId="4" fillId="15" borderId="162" xfId="0" applyFont="1" applyFill="1" applyBorder="1" applyAlignment="1" applyProtection="1">
      <alignment horizontal="center" vertical="center"/>
      <protection locked="0"/>
    </xf>
    <xf numFmtId="0" fontId="3" fillId="15" borderId="160" xfId="0" applyFont="1" applyFill="1" applyBorder="1" applyAlignment="1" applyProtection="1">
      <alignment vertical="center"/>
      <protection locked="0"/>
    </xf>
    <xf numFmtId="0" fontId="2" fillId="2" borderId="144" xfId="0" applyFont="1" applyFill="1" applyBorder="1" applyAlignment="1">
      <alignment horizontal="center" vertical="center"/>
    </xf>
    <xf numFmtId="0" fontId="3" fillId="0" borderId="69" xfId="0" applyFont="1" applyBorder="1" applyAlignment="1">
      <alignment vertical="center"/>
    </xf>
    <xf numFmtId="2" fontId="4" fillId="0" borderId="40" xfId="0" applyNumberFormat="1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>
      <alignment vertical="center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184" fontId="4" fillId="0" borderId="40" xfId="0" applyNumberFormat="1" applyFont="1" applyFill="1" applyBorder="1" applyAlignment="1">
      <alignment horizontal="center" vertical="center"/>
    </xf>
    <xf numFmtId="2" fontId="2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6" borderId="1" xfId="0" applyFont="1" applyFill="1" applyBorder="1" applyAlignment="1">
      <alignment horizontal="center" vertical="center"/>
    </xf>
    <xf numFmtId="0" fontId="3" fillId="17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0" fontId="3" fillId="0" borderId="46" xfId="0" applyFont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4" fillId="15" borderId="47" xfId="0" applyFont="1" applyFill="1" applyBorder="1" applyAlignment="1" applyProtection="1">
      <alignment horizontal="center" vertical="center"/>
      <protection locked="0"/>
    </xf>
    <xf numFmtId="0" fontId="3" fillId="15" borderId="81" xfId="0" applyFont="1" applyFill="1" applyBorder="1" applyAlignment="1" applyProtection="1">
      <alignment vertical="center"/>
      <protection locked="0"/>
    </xf>
    <xf numFmtId="0" fontId="3" fillId="15" borderId="48" xfId="0" applyFont="1" applyFill="1" applyBorder="1" applyAlignment="1" applyProtection="1">
      <alignment vertical="center"/>
      <protection locked="0"/>
    </xf>
    <xf numFmtId="0" fontId="3" fillId="15" borderId="108" xfId="0" applyFont="1" applyFill="1" applyBorder="1" applyAlignment="1" applyProtection="1">
      <alignment vertical="center"/>
      <protection locked="0"/>
    </xf>
    <xf numFmtId="0" fontId="0" fillId="15" borderId="0" xfId="0" applyFont="1" applyFill="1" applyAlignment="1" applyProtection="1">
      <alignment vertical="center"/>
      <protection locked="0"/>
    </xf>
    <xf numFmtId="0" fontId="3" fillId="15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5" borderId="3" xfId="0" applyFont="1" applyFill="1" applyBorder="1" applyAlignment="1" applyProtection="1">
      <alignment horizontal="center" vertical="center"/>
      <protection locked="0"/>
    </xf>
    <xf numFmtId="0" fontId="3" fillId="15" borderId="62" xfId="0" applyFont="1" applyFill="1" applyBorder="1" applyAlignment="1" applyProtection="1">
      <alignment vertical="center"/>
      <protection locked="0"/>
    </xf>
    <xf numFmtId="0" fontId="3" fillId="0" borderId="36" xfId="0" applyFont="1" applyBorder="1" applyAlignment="1">
      <alignment vertical="center"/>
    </xf>
    <xf numFmtId="0" fontId="3" fillId="15" borderId="44" xfId="0" applyFont="1" applyFill="1" applyBorder="1" applyAlignment="1" applyProtection="1">
      <alignment vertical="center"/>
      <protection locked="0"/>
    </xf>
    <xf numFmtId="0" fontId="3" fillId="15" borderId="144" xfId="0" applyFont="1" applyFill="1" applyBorder="1" applyAlignment="1" applyProtection="1">
      <alignment vertical="center"/>
      <protection locked="0"/>
    </xf>
    <xf numFmtId="0" fontId="3" fillId="15" borderId="69" xfId="0" applyFont="1" applyFill="1" applyBorder="1" applyAlignment="1" applyProtection="1">
      <alignment vertical="center"/>
      <protection locked="0"/>
    </xf>
    <xf numFmtId="0" fontId="2" fillId="16" borderId="25" xfId="0" applyFont="1" applyFill="1" applyBorder="1" applyAlignment="1">
      <alignment horizontal="center" vertical="center"/>
    </xf>
    <xf numFmtId="0" fontId="3" fillId="17" borderId="26" xfId="0" applyFont="1" applyFill="1" applyBorder="1" applyAlignment="1">
      <alignment vertical="center"/>
    </xf>
    <xf numFmtId="0" fontId="2" fillId="16" borderId="7" xfId="0" applyFont="1" applyFill="1" applyBorder="1" applyAlignment="1">
      <alignment horizontal="center" vertical="center"/>
    </xf>
    <xf numFmtId="0" fontId="3" fillId="17" borderId="48" xfId="0" applyFont="1" applyFill="1" applyBorder="1" applyAlignment="1">
      <alignment vertical="center"/>
    </xf>
    <xf numFmtId="0" fontId="3" fillId="17" borderId="96" xfId="0" applyFont="1" applyFill="1" applyBorder="1" applyAlignment="1">
      <alignment vertical="center"/>
    </xf>
    <xf numFmtId="0" fontId="3" fillId="17" borderId="151" xfId="0" applyFont="1" applyFill="1" applyBorder="1" applyAlignment="1">
      <alignment vertical="center"/>
    </xf>
    <xf numFmtId="0" fontId="2" fillId="2" borderId="160" xfId="0" applyFont="1" applyFill="1" applyBorder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57" xfId="0" applyFont="1" applyFill="1" applyBorder="1" applyAlignment="1">
      <alignment horizontal="center" vertical="center"/>
    </xf>
    <xf numFmtId="181" fontId="4" fillId="0" borderId="159" xfId="0" applyNumberFormat="1" applyFont="1" applyFill="1" applyBorder="1" applyAlignment="1">
      <alignment horizontal="center" vertical="center"/>
    </xf>
    <xf numFmtId="0" fontId="3" fillId="0" borderId="156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2" fillId="2" borderId="170" xfId="0" applyFont="1" applyFill="1" applyBorder="1" applyAlignment="1">
      <alignment horizontal="center" vertical="center"/>
    </xf>
    <xf numFmtId="0" fontId="3" fillId="0" borderId="169" xfId="0" applyFont="1" applyBorder="1" applyAlignment="1">
      <alignment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79" xfId="0" applyFont="1" applyFill="1" applyBorder="1" applyAlignment="1">
      <alignment horizontal="center" vertical="center"/>
    </xf>
    <xf numFmtId="0" fontId="2" fillId="2" borderId="180" xfId="0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center" vertical="center" wrapText="1"/>
      <protection locked="0"/>
    </xf>
    <xf numFmtId="183" fontId="4" fillId="4" borderId="24" xfId="0" applyNumberFormat="1" applyFont="1" applyFill="1" applyBorder="1" applyAlignment="1" applyProtection="1">
      <alignment horizontal="center" vertical="center"/>
      <protection locked="0"/>
    </xf>
    <xf numFmtId="183" fontId="4" fillId="4" borderId="108" xfId="0" applyNumberFormat="1" applyFont="1" applyFill="1" applyBorder="1" applyAlignment="1" applyProtection="1">
      <alignment horizontal="center" vertical="center"/>
      <protection locked="0"/>
    </xf>
    <xf numFmtId="183" fontId="4" fillId="4" borderId="142" xfId="0" applyNumberFormat="1" applyFont="1" applyFill="1" applyBorder="1" applyAlignment="1" applyProtection="1">
      <alignment horizontal="center" vertical="center"/>
      <protection locked="0"/>
    </xf>
    <xf numFmtId="183" fontId="4" fillId="4" borderId="44" xfId="0" applyNumberFormat="1" applyFont="1" applyFill="1" applyBorder="1" applyAlignment="1" applyProtection="1">
      <alignment horizontal="center" vertical="center"/>
      <protection locked="0"/>
    </xf>
    <xf numFmtId="183" fontId="4" fillId="4" borderId="122" xfId="0" applyNumberFormat="1" applyFont="1" applyFill="1" applyBorder="1" applyAlignment="1" applyProtection="1">
      <alignment horizontal="center" vertical="center"/>
      <protection locked="0"/>
    </xf>
    <xf numFmtId="181" fontId="7" fillId="0" borderId="63" xfId="0" applyNumberFormat="1" applyFont="1" applyBorder="1" applyAlignment="1">
      <alignment horizontal="center" vertical="center"/>
    </xf>
    <xf numFmtId="0" fontId="2" fillId="2" borderId="166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67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2" fontId="4" fillId="0" borderId="170" xfId="0" applyNumberFormat="1" applyFont="1" applyFill="1" applyBorder="1" applyAlignment="1">
      <alignment horizontal="center" vertical="center"/>
    </xf>
    <xf numFmtId="0" fontId="3" fillId="0" borderId="171" xfId="0" applyFont="1" applyFill="1" applyBorder="1" applyAlignment="1">
      <alignment vertical="center"/>
    </xf>
    <xf numFmtId="0" fontId="3" fillId="0" borderId="181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68" xfId="0" applyFont="1" applyFill="1" applyBorder="1" applyAlignment="1">
      <alignment horizontal="center" vertical="center"/>
    </xf>
    <xf numFmtId="2" fontId="4" fillId="0" borderId="27" xfId="0" applyNumberFormat="1" applyFont="1" applyFill="1" applyBorder="1" applyAlignment="1">
      <alignment horizontal="center"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55" xfId="0" applyNumberFormat="1" applyFont="1" applyFill="1" applyBorder="1" applyAlignment="1">
      <alignment vertical="center"/>
    </xf>
    <xf numFmtId="2" fontId="3" fillId="0" borderId="171" xfId="0" applyNumberFormat="1" applyFont="1" applyFill="1" applyBorder="1" applyAlignment="1">
      <alignment vertical="center"/>
    </xf>
    <xf numFmtId="2" fontId="3" fillId="0" borderId="169" xfId="0" applyNumberFormat="1" applyFont="1" applyFill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197" fontId="56" fillId="0" borderId="172" xfId="5" applyNumberFormat="1" applyFont="1" applyBorder="1" applyAlignment="1" applyProtection="1">
      <alignment horizontal="right" vertical="center"/>
      <protection locked="0"/>
    </xf>
    <xf numFmtId="197" fontId="56" fillId="0" borderId="48" xfId="5" applyNumberFormat="1" applyFont="1" applyBorder="1" applyAlignment="1" applyProtection="1">
      <alignment horizontal="right" vertical="center"/>
      <protection locked="0"/>
    </xf>
    <xf numFmtId="197" fontId="56" fillId="0" borderId="152" xfId="5" applyNumberFormat="1" applyFont="1" applyBorder="1" applyAlignment="1" applyProtection="1">
      <alignment horizontal="right" vertical="center"/>
      <protection locked="0"/>
    </xf>
    <xf numFmtId="197" fontId="56" fillId="0" borderId="151" xfId="5" applyNumberFormat="1" applyFont="1" applyBorder="1" applyAlignment="1" applyProtection="1">
      <alignment horizontal="right" vertical="center"/>
      <protection locked="0"/>
    </xf>
    <xf numFmtId="197" fontId="56" fillId="0" borderId="173" xfId="5" applyNumberFormat="1" applyFont="1" applyBorder="1" applyAlignment="1" applyProtection="1">
      <alignment horizontal="right" vertical="center"/>
      <protection locked="0"/>
    </xf>
    <xf numFmtId="197" fontId="56" fillId="0" borderId="69" xfId="5" applyNumberFormat="1" applyFont="1" applyBorder="1" applyAlignment="1" applyProtection="1">
      <alignment horizontal="right" vertical="center"/>
      <protection locked="0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2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3" fillId="0" borderId="6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2" borderId="43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0" fontId="3" fillId="0" borderId="55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184" fontId="2" fillId="0" borderId="11" xfId="0" applyNumberFormat="1" applyFont="1" applyBorder="1" applyAlignment="1">
      <alignment horizontal="center"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8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8" fillId="0" borderId="119" xfId="0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0" fontId="19" fillId="0" borderId="11" xfId="0" applyFont="1" applyBorder="1" applyAlignment="1">
      <alignment horizontal="center" vertical="center"/>
    </xf>
    <xf numFmtId="2" fontId="18" fillId="5" borderId="43" xfId="0" applyNumberFormat="1" applyFont="1" applyFill="1" applyBorder="1" applyAlignment="1">
      <alignment horizontal="left" vertical="center"/>
    </xf>
    <xf numFmtId="0" fontId="18" fillId="5" borderId="43" xfId="0" applyFont="1" applyFill="1" applyBorder="1" applyAlignment="1">
      <alignment horizontal="left" vertical="center"/>
    </xf>
    <xf numFmtId="0" fontId="18" fillId="0" borderId="28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 vertical="center"/>
    </xf>
    <xf numFmtId="2" fontId="17" fillId="3" borderId="11" xfId="0" applyNumberFormat="1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2" fontId="17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11" xfId="0" applyFont="1" applyFill="1" applyBorder="1" applyAlignment="1">
      <alignment horizontal="center" vertical="center"/>
    </xf>
    <xf numFmtId="0" fontId="18" fillId="5" borderId="38" xfId="0" applyFont="1" applyFill="1" applyBorder="1" applyAlignment="1">
      <alignment horizontal="center" vertical="center"/>
    </xf>
    <xf numFmtId="0" fontId="18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18" fillId="0" borderId="12" xfId="0" applyFont="1" applyBorder="1" applyAlignment="1">
      <alignment horizontal="center" vertical="center"/>
    </xf>
    <xf numFmtId="0" fontId="19" fillId="3" borderId="27" xfId="0" applyFont="1" applyFill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" fillId="0" borderId="20" xfId="0" applyFont="1" applyBorder="1" applyAlignment="1">
      <alignment horizontal="center" vertical="center" wrapText="1"/>
    </xf>
    <xf numFmtId="0" fontId="3" fillId="0" borderId="20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0" fontId="13" fillId="0" borderId="17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22" fillId="0" borderId="99" xfId="0" applyFont="1" applyBorder="1" applyAlignment="1">
      <alignment horizontal="center" vertical="center"/>
    </xf>
    <xf numFmtId="0" fontId="16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17" fillId="0" borderId="22" xfId="0" applyFont="1" applyBorder="1" applyAlignment="1">
      <alignment horizontal="center" vertical="center" wrapText="1"/>
    </xf>
    <xf numFmtId="0" fontId="17" fillId="3" borderId="11" xfId="0" applyFont="1" applyFill="1" applyBorder="1" applyAlignment="1">
      <alignment horizontal="center" vertical="center"/>
    </xf>
    <xf numFmtId="0" fontId="19" fillId="0" borderId="22" xfId="0" applyFont="1" applyBorder="1" applyAlignment="1">
      <alignment horizontal="center" vertical="center" wrapText="1"/>
    </xf>
    <xf numFmtId="176" fontId="17" fillId="5" borderId="27" xfId="0" applyNumberFormat="1" applyFont="1" applyFill="1" applyBorder="1" applyAlignment="1">
      <alignment horizontal="center" vertical="center"/>
    </xf>
    <xf numFmtId="0" fontId="17" fillId="5" borderId="27" xfId="0" applyFont="1" applyFill="1" applyBorder="1" applyAlignment="1">
      <alignment horizontal="center" vertical="center"/>
    </xf>
    <xf numFmtId="0" fontId="18" fillId="0" borderId="16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/>
    </xf>
    <xf numFmtId="181" fontId="18" fillId="0" borderId="12" xfId="0" applyNumberFormat="1" applyFont="1" applyBorder="1" applyAlignment="1">
      <alignment horizontal="left" vertical="center"/>
    </xf>
    <xf numFmtId="189" fontId="18" fillId="5" borderId="43" xfId="0" applyNumberFormat="1" applyFont="1" applyFill="1" applyBorder="1" applyAlignment="1">
      <alignment horizontal="left" vertical="center"/>
    </xf>
    <xf numFmtId="0" fontId="18" fillId="5" borderId="43" xfId="0" applyFont="1" applyFill="1" applyBorder="1" applyAlignment="1">
      <alignment horizontal="center" vertical="center"/>
    </xf>
    <xf numFmtId="0" fontId="17" fillId="0" borderId="16" xfId="0" applyFont="1" applyBorder="1" applyAlignment="1">
      <alignment horizontal="center" vertical="center" wrapText="1"/>
    </xf>
    <xf numFmtId="0" fontId="17" fillId="3" borderId="27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7" fillId="0" borderId="25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 wrapText="1"/>
    </xf>
    <xf numFmtId="2" fontId="17" fillId="5" borderId="27" xfId="0" applyNumberFormat="1" applyFont="1" applyFill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2" fontId="17" fillId="3" borderId="27" xfId="0" applyNumberFormat="1" applyFont="1" applyFill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8" fillId="0" borderId="25" xfId="0" applyFont="1" applyBorder="1" applyAlignment="1">
      <alignment horizontal="left" vertical="center"/>
    </xf>
    <xf numFmtId="0" fontId="14" fillId="0" borderId="7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2" fontId="18" fillId="0" borderId="12" xfId="0" applyNumberFormat="1" applyFont="1" applyBorder="1" applyAlignment="1">
      <alignment horizontal="center" vertical="center"/>
    </xf>
    <xf numFmtId="176" fontId="18" fillId="0" borderId="12" xfId="0" applyNumberFormat="1" applyFont="1" applyBorder="1" applyAlignment="1">
      <alignment horizontal="left" vertical="center"/>
    </xf>
    <xf numFmtId="177" fontId="27" fillId="0" borderId="12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176" fontId="27" fillId="0" borderId="17" xfId="0" applyNumberFormat="1" applyFont="1" applyBorder="1" applyAlignment="1">
      <alignment horizontal="center" vertical="center"/>
    </xf>
    <xf numFmtId="176" fontId="27" fillId="0" borderId="1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2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3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182" fontId="27" fillId="0" borderId="28" xfId="0" applyNumberFormat="1" applyFont="1" applyBorder="1" applyAlignment="1">
      <alignment horizontal="center" vertical="center"/>
    </xf>
    <xf numFmtId="177" fontId="27" fillId="0" borderId="28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7" fillId="0" borderId="17" xfId="0" applyNumberFormat="1" applyFont="1" applyBorder="1" applyAlignment="1">
      <alignment horizontal="center" vertical="center"/>
    </xf>
    <xf numFmtId="178" fontId="27" fillId="0" borderId="17" xfId="0" applyNumberFormat="1" applyFont="1" applyBorder="1" applyAlignment="1">
      <alignment horizontal="center" vertical="center"/>
    </xf>
    <xf numFmtId="179" fontId="27" fillId="0" borderId="12" xfId="0" applyNumberFormat="1" applyFont="1" applyBorder="1" applyAlignment="1">
      <alignment horizontal="center" vertical="center"/>
    </xf>
    <xf numFmtId="190" fontId="27" fillId="5" borderId="43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94" fontId="1" fillId="0" borderId="0" xfId="0" applyNumberFormat="1" applyFont="1" applyAlignment="1">
      <alignment horizontal="center" vertical="center" shrinkToFit="1"/>
    </xf>
    <xf numFmtId="0" fontId="1" fillId="0" borderId="32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8" fontId="27" fillId="0" borderId="12" xfId="0" applyNumberFormat="1" applyFont="1" applyBorder="1" applyAlignment="1">
      <alignment horizontal="center" vertical="center"/>
    </xf>
    <xf numFmtId="179" fontId="27" fillId="0" borderId="37" xfId="0" applyNumberFormat="1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27" fillId="5" borderId="43" xfId="0" applyFont="1" applyFill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7" fillId="0" borderId="12" xfId="0" applyNumberFormat="1" applyFont="1" applyBorder="1" applyAlignment="1">
      <alignment horizontal="center" vertical="center"/>
    </xf>
    <xf numFmtId="182" fontId="27" fillId="0" borderId="12" xfId="0" applyNumberFormat="1" applyFont="1" applyBorder="1" applyAlignment="1">
      <alignment horizontal="center" vertical="center"/>
    </xf>
    <xf numFmtId="179" fontId="27" fillId="0" borderId="28" xfId="0" applyNumberFormat="1" applyFont="1" applyBorder="1" applyAlignment="1">
      <alignment horizontal="center" vertical="center"/>
    </xf>
    <xf numFmtId="178" fontId="1" fillId="13" borderId="140" xfId="0" applyNumberFormat="1" applyFont="1" applyFill="1" applyBorder="1" applyAlignment="1">
      <alignment horizontal="center" vertical="center"/>
    </xf>
    <xf numFmtId="178" fontId="36" fillId="3" borderId="44" xfId="0" applyNumberFormat="1" applyFont="1" applyFill="1" applyBorder="1" applyAlignment="1">
      <alignment horizontal="center" vertical="center"/>
    </xf>
    <xf numFmtId="178" fontId="36" fillId="3" borderId="47" xfId="0" applyNumberFormat="1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44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180" fontId="36" fillId="3" borderId="9" xfId="0" applyNumberFormat="1" applyFont="1" applyFill="1" applyBorder="1" applyAlignment="1">
      <alignment horizontal="center" vertical="center"/>
    </xf>
    <xf numFmtId="0" fontId="29" fillId="3" borderId="38" xfId="0" applyFont="1" applyFill="1" applyBorder="1" applyAlignment="1">
      <alignment horizontal="center" vertical="center"/>
    </xf>
    <xf numFmtId="0" fontId="29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3" fillId="3" borderId="76" xfId="0" applyFont="1" applyFill="1" applyBorder="1" applyAlignment="1">
      <alignment horizontal="center" vertical="center"/>
    </xf>
    <xf numFmtId="0" fontId="35" fillId="3" borderId="76" xfId="0" applyFont="1" applyFill="1" applyBorder="1" applyAlignment="1">
      <alignment horizontal="center" vertical="center"/>
    </xf>
    <xf numFmtId="182" fontId="36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N16" sqref="N16:O16"/>
    </sheetView>
  </sheetViews>
  <sheetFormatPr defaultRowHeight="15" customHeight="1"/>
  <cols>
    <col min="1" max="4" width="9" style="230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306" t="s">
        <v>346</v>
      </c>
      <c r="F2" s="307"/>
      <c r="G2" s="324"/>
      <c r="H2" s="325"/>
      <c r="I2" s="278" t="s">
        <v>335</v>
      </c>
      <c r="J2" s="326"/>
      <c r="K2" s="326"/>
      <c r="L2" s="326"/>
      <c r="M2" s="326"/>
      <c r="N2" s="279"/>
      <c r="O2" s="278" t="s">
        <v>2</v>
      </c>
      <c r="P2" s="279"/>
      <c r="Q2" s="280"/>
      <c r="R2" s="281"/>
      <c r="S2" s="1"/>
    </row>
    <row r="3" spans="5:19" ht="27.75" customHeight="1">
      <c r="E3" s="308" t="s">
        <v>3</v>
      </c>
      <c r="F3" s="309"/>
      <c r="G3" s="315"/>
      <c r="H3" s="316"/>
      <c r="I3" s="316"/>
      <c r="J3" s="316"/>
      <c r="K3" s="316"/>
      <c r="L3" s="316"/>
      <c r="M3" s="317"/>
      <c r="N3" s="311" t="s">
        <v>344</v>
      </c>
      <c r="O3" s="312"/>
      <c r="P3" s="312"/>
      <c r="Q3" s="312"/>
      <c r="R3" s="313"/>
      <c r="S3" s="1"/>
    </row>
    <row r="4" spans="5:19" ht="17.25" customHeight="1">
      <c r="E4" s="310"/>
      <c r="F4" s="292"/>
      <c r="G4" s="327"/>
      <c r="H4" s="328"/>
      <c r="I4" s="328"/>
      <c r="J4" s="328"/>
      <c r="K4" s="328"/>
      <c r="L4" s="328"/>
      <c r="M4" s="329"/>
      <c r="N4" s="250" t="s">
        <v>7</v>
      </c>
      <c r="O4" s="251"/>
      <c r="P4" s="314" t="s">
        <v>8</v>
      </c>
      <c r="Q4" s="312"/>
      <c r="R4" s="313"/>
      <c r="S4" s="1"/>
    </row>
    <row r="5" spans="5:19" ht="17.25" customHeight="1">
      <c r="E5" s="332" t="s">
        <v>341</v>
      </c>
      <c r="F5" s="333"/>
      <c r="G5" s="315"/>
      <c r="H5" s="316"/>
      <c r="I5" s="316"/>
      <c r="J5" s="316"/>
      <c r="K5" s="316"/>
      <c r="L5" s="316"/>
      <c r="M5" s="317"/>
      <c r="N5" s="266" t="s">
        <v>349</v>
      </c>
      <c r="O5" s="267"/>
      <c r="P5" s="4" t="s">
        <v>350</v>
      </c>
      <c r="Q5" s="266" t="s">
        <v>347</v>
      </c>
      <c r="R5" s="313"/>
      <c r="S5" s="1"/>
    </row>
    <row r="6" spans="5:19" ht="24.75" customHeight="1">
      <c r="E6" s="334"/>
      <c r="F6" s="335"/>
      <c r="G6" s="318"/>
      <c r="H6" s="319"/>
      <c r="I6" s="319"/>
      <c r="J6" s="319"/>
      <c r="K6" s="319"/>
      <c r="L6" s="319"/>
      <c r="M6" s="320"/>
      <c r="N6" s="268"/>
      <c r="O6" s="269"/>
      <c r="P6" s="264"/>
      <c r="Q6" s="246"/>
      <c r="R6" s="247"/>
      <c r="S6" s="1"/>
    </row>
    <row r="7" spans="5:19" ht="24.75" customHeight="1" thickBot="1">
      <c r="E7" s="330" t="s">
        <v>348</v>
      </c>
      <c r="F7" s="331"/>
      <c r="G7" s="198"/>
      <c r="H7" s="215" t="s">
        <v>15</v>
      </c>
      <c r="I7" s="199"/>
      <c r="J7" s="5" t="s">
        <v>16</v>
      </c>
      <c r="K7" s="321" t="str">
        <f>IF(G18&gt;0,"원형 ■       사각형 □ ","원형 □       사각형 ■ ")</f>
        <v xml:space="preserve">원형 □       사각형 ■ </v>
      </c>
      <c r="L7" s="322"/>
      <c r="M7" s="323"/>
      <c r="N7" s="270"/>
      <c r="O7" s="271"/>
      <c r="P7" s="265"/>
      <c r="Q7" s="248"/>
      <c r="R7" s="249"/>
      <c r="S7" s="1"/>
    </row>
    <row r="8" spans="5:19" ht="15" customHeight="1">
      <c r="E8" s="343"/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44"/>
      <c r="Q8" s="344"/>
      <c r="R8" s="344"/>
      <c r="S8" s="1"/>
    </row>
    <row r="9" spans="5:19" ht="27.75" customHeight="1" thickBot="1">
      <c r="E9" s="338" t="s">
        <v>20</v>
      </c>
      <c r="F9" s="339"/>
      <c r="G9" s="339"/>
      <c r="H9" s="339"/>
      <c r="I9" s="339"/>
      <c r="J9" s="339"/>
      <c r="K9" s="339"/>
      <c r="L9" s="339"/>
      <c r="M9" s="339"/>
      <c r="N9" s="339"/>
      <c r="O9" s="339"/>
      <c r="P9" s="339"/>
      <c r="Q9" s="339"/>
      <c r="R9" s="339"/>
      <c r="S9" s="1"/>
    </row>
    <row r="10" spans="5:19" ht="31.5" customHeight="1">
      <c r="E10" s="340" t="s">
        <v>23</v>
      </c>
      <c r="F10" s="337"/>
      <c r="G10" s="341"/>
      <c r="H10" s="342"/>
      <c r="I10" s="186"/>
      <c r="J10" s="255"/>
      <c r="K10" s="256"/>
      <c r="L10" s="256"/>
      <c r="M10" s="257"/>
      <c r="N10" s="336" t="s">
        <v>25</v>
      </c>
      <c r="O10" s="337"/>
      <c r="P10" s="289"/>
      <c r="Q10" s="290"/>
      <c r="R10" s="187"/>
      <c r="S10" s="1"/>
    </row>
    <row r="11" spans="5:19" ht="31.5" customHeight="1">
      <c r="E11" s="288" t="s">
        <v>28</v>
      </c>
      <c r="F11" s="251"/>
      <c r="G11" s="244"/>
      <c r="H11" s="245"/>
      <c r="I11" s="188"/>
      <c r="J11" s="258"/>
      <c r="K11" s="259"/>
      <c r="L11" s="259"/>
      <c r="M11" s="260"/>
      <c r="N11" s="291" t="s">
        <v>355</v>
      </c>
      <c r="O11" s="292"/>
      <c r="P11" s="275"/>
      <c r="Q11" s="276"/>
      <c r="R11" s="189"/>
      <c r="S11" s="1"/>
    </row>
    <row r="12" spans="5:19" ht="31.5" customHeight="1">
      <c r="E12" s="288" t="s">
        <v>33</v>
      </c>
      <c r="F12" s="251"/>
      <c r="G12" s="294"/>
      <c r="H12" s="276"/>
      <c r="I12" s="295"/>
      <c r="J12" s="258"/>
      <c r="K12" s="259"/>
      <c r="L12" s="259"/>
      <c r="M12" s="260"/>
      <c r="N12" s="291" t="s">
        <v>354</v>
      </c>
      <c r="O12" s="292"/>
      <c r="P12" s="272"/>
      <c r="Q12" s="273"/>
      <c r="R12" s="189"/>
      <c r="S12" s="1"/>
    </row>
    <row r="13" spans="5:19" ht="31.5" customHeight="1">
      <c r="E13" s="288" t="s">
        <v>36</v>
      </c>
      <c r="F13" s="251"/>
      <c r="G13" s="293"/>
      <c r="H13" s="245"/>
      <c r="I13" s="299"/>
      <c r="J13" s="258"/>
      <c r="K13" s="259"/>
      <c r="L13" s="259"/>
      <c r="M13" s="260"/>
      <c r="N13" s="291" t="s">
        <v>357</v>
      </c>
      <c r="O13" s="292"/>
      <c r="P13" s="272"/>
      <c r="Q13" s="274"/>
      <c r="R13" s="232"/>
      <c r="S13" s="1"/>
    </row>
    <row r="14" spans="5:19" ht="31.5" customHeight="1">
      <c r="E14" s="288" t="s">
        <v>39</v>
      </c>
      <c r="F14" s="251"/>
      <c r="G14" s="293"/>
      <c r="H14" s="245"/>
      <c r="I14" s="192"/>
      <c r="J14" s="258"/>
      <c r="K14" s="259"/>
      <c r="L14" s="259"/>
      <c r="M14" s="260"/>
      <c r="N14" s="250" t="s">
        <v>49</v>
      </c>
      <c r="O14" s="251"/>
      <c r="P14" s="272"/>
      <c r="Q14" s="273"/>
      <c r="R14" s="189"/>
      <c r="S14" s="1"/>
    </row>
    <row r="15" spans="5:19" ht="31.5" customHeight="1">
      <c r="E15" s="288" t="s">
        <v>43</v>
      </c>
      <c r="F15" s="251"/>
      <c r="G15" s="294"/>
      <c r="H15" s="276"/>
      <c r="I15" s="295"/>
      <c r="J15" s="261"/>
      <c r="K15" s="262"/>
      <c r="L15" s="262"/>
      <c r="M15" s="263"/>
      <c r="N15" s="277" t="s">
        <v>56</v>
      </c>
      <c r="O15" s="251"/>
      <c r="P15" s="272"/>
      <c r="Q15" s="273"/>
      <c r="R15" s="189"/>
      <c r="S15" s="1"/>
    </row>
    <row r="16" spans="5:19" ht="39.75" customHeight="1">
      <c r="E16" s="282" t="s">
        <v>353</v>
      </c>
      <c r="F16" s="251"/>
      <c r="G16" s="252"/>
      <c r="H16" s="253"/>
      <c r="I16" s="254"/>
      <c r="J16" s="190" t="s">
        <v>48</v>
      </c>
      <c r="K16" s="296" t="str">
        <f>IFERROR(#REF!/1000,"")</f>
        <v/>
      </c>
      <c r="L16" s="297"/>
      <c r="M16" s="191" t="str">
        <f>IF(K16="","","m")</f>
        <v/>
      </c>
      <c r="N16" s="250" t="s">
        <v>356</v>
      </c>
      <c r="O16" s="251"/>
      <c r="P16" s="298"/>
      <c r="Q16" s="276"/>
      <c r="R16" s="189"/>
      <c r="S16" s="1"/>
    </row>
    <row r="17" spans="5:19" ht="31.5" customHeight="1">
      <c r="E17" s="288" t="s">
        <v>53</v>
      </c>
      <c r="F17" s="251"/>
      <c r="G17" s="399"/>
      <c r="H17" s="400"/>
      <c r="I17" s="184"/>
      <c r="J17" s="190" t="s">
        <v>55</v>
      </c>
      <c r="K17" s="296" t="str">
        <f>IFERROR(#REF!/1000,"")</f>
        <v/>
      </c>
      <c r="L17" s="297"/>
      <c r="M17" s="191" t="str">
        <f>IF(K17="","","m")</f>
        <v/>
      </c>
      <c r="N17" s="277" t="s">
        <v>358</v>
      </c>
      <c r="O17" s="251"/>
      <c r="P17" s="298"/>
      <c r="Q17" s="305"/>
      <c r="R17" s="189"/>
      <c r="S17" s="1"/>
    </row>
    <row r="18" spans="5:19" ht="31.5" customHeight="1">
      <c r="E18" s="361" t="s">
        <v>343</v>
      </c>
      <c r="F18" s="362"/>
      <c r="G18" s="275"/>
      <c r="H18" s="276"/>
      <c r="I18" s="184"/>
      <c r="J18" s="190" t="s">
        <v>60</v>
      </c>
      <c r="K18" s="296" t="str">
        <f>IFERROR(#REF!/1000,"")</f>
        <v/>
      </c>
      <c r="L18" s="297"/>
      <c r="M18" s="191" t="str">
        <f>IF(K18="","","m")</f>
        <v/>
      </c>
      <c r="N18" s="347" t="s">
        <v>366</v>
      </c>
      <c r="O18" s="348"/>
      <c r="P18" s="349"/>
      <c r="Q18" s="347" t="s">
        <v>351</v>
      </c>
      <c r="R18" s="352"/>
      <c r="S18" s="1"/>
    </row>
    <row r="19" spans="5:19" ht="31.5" customHeight="1">
      <c r="E19" s="363"/>
      <c r="F19" s="364"/>
      <c r="G19" s="219"/>
      <c r="H19" s="213"/>
      <c r="I19" s="209"/>
      <c r="J19" s="190" t="s">
        <v>62</v>
      </c>
      <c r="K19" s="296" t="str">
        <f>IFERROR(#REF!/1000,"")</f>
        <v/>
      </c>
      <c r="L19" s="297"/>
      <c r="M19" s="191" t="str">
        <f>IF(K19="","","m")</f>
        <v/>
      </c>
      <c r="N19" s="350"/>
      <c r="O19" s="291"/>
      <c r="P19" s="351"/>
      <c r="Q19" s="350"/>
      <c r="R19" s="353"/>
      <c r="S19" s="1"/>
    </row>
    <row r="20" spans="5:19" ht="31.5" customHeight="1">
      <c r="E20" s="288" t="s">
        <v>336</v>
      </c>
      <c r="F20" s="277"/>
      <c r="G20" s="277"/>
      <c r="H20" s="397" t="s">
        <v>337</v>
      </c>
      <c r="I20" s="398"/>
      <c r="J20" s="190" t="s">
        <v>63</v>
      </c>
      <c r="K20" s="296" t="str">
        <f>IFERROR(#REF!/1000,"")</f>
        <v/>
      </c>
      <c r="L20" s="297"/>
      <c r="M20" s="191" t="str">
        <f>IF(K20="","","m")</f>
        <v/>
      </c>
      <c r="N20" s="250" t="s">
        <v>64</v>
      </c>
      <c r="O20" s="251"/>
      <c r="P20" s="201"/>
      <c r="Q20" s="354"/>
      <c r="R20" s="355"/>
      <c r="S20" s="1"/>
    </row>
    <row r="21" spans="5:19" ht="31.5" customHeight="1">
      <c r="E21" s="288" t="s">
        <v>67</v>
      </c>
      <c r="F21" s="251"/>
      <c r="G21" s="210"/>
      <c r="H21" s="386"/>
      <c r="I21" s="387"/>
      <c r="J21" s="185"/>
      <c r="K21" s="314"/>
      <c r="L21" s="312"/>
      <c r="M21" s="251"/>
      <c r="N21" s="347" t="s">
        <v>68</v>
      </c>
      <c r="O21" s="309"/>
      <c r="P21" s="201"/>
      <c r="Q21" s="356"/>
      <c r="R21" s="357"/>
      <c r="S21" s="1"/>
    </row>
    <row r="22" spans="5:19" ht="31.5" customHeight="1">
      <c r="E22" s="282" t="s">
        <v>69</v>
      </c>
      <c r="F22" s="251"/>
      <c r="G22" s="211"/>
      <c r="H22" s="388"/>
      <c r="I22" s="389"/>
      <c r="J22" s="286" t="s">
        <v>361</v>
      </c>
      <c r="K22" s="287"/>
      <c r="L22" s="394"/>
      <c r="M22" s="251"/>
      <c r="N22" s="250" t="s">
        <v>70</v>
      </c>
      <c r="O22" s="251"/>
      <c r="P22" s="193"/>
      <c r="Q22" s="358"/>
      <c r="R22" s="359"/>
      <c r="S22" s="1"/>
    </row>
    <row r="23" spans="5:19" ht="31.5" customHeight="1">
      <c r="E23" s="282" t="s">
        <v>72</v>
      </c>
      <c r="F23" s="251"/>
      <c r="G23" s="211"/>
      <c r="H23" s="388"/>
      <c r="I23" s="389"/>
      <c r="J23" s="286"/>
      <c r="K23" s="287"/>
      <c r="L23" s="360"/>
      <c r="M23" s="251"/>
      <c r="N23" s="250" t="s">
        <v>73</v>
      </c>
      <c r="O23" s="312"/>
      <c r="P23" s="312"/>
      <c r="Q23" s="312"/>
      <c r="R23" s="313"/>
      <c r="S23" s="1"/>
    </row>
    <row r="24" spans="5:19" ht="31.5" customHeight="1">
      <c r="E24" s="282" t="s">
        <v>74</v>
      </c>
      <c r="F24" s="251"/>
      <c r="G24" s="211"/>
      <c r="H24" s="388"/>
      <c r="I24" s="389"/>
      <c r="J24" s="286" t="s">
        <v>362</v>
      </c>
      <c r="K24" s="286"/>
      <c r="L24" s="360"/>
      <c r="M24" s="251"/>
      <c r="N24" s="250" t="s">
        <v>64</v>
      </c>
      <c r="O24" s="251"/>
      <c r="P24" s="283"/>
      <c r="Q24" s="284"/>
      <c r="R24" s="285"/>
      <c r="S24" s="1"/>
    </row>
    <row r="25" spans="5:19" ht="31.5" customHeight="1">
      <c r="E25" s="282" t="s">
        <v>77</v>
      </c>
      <c r="F25" s="251"/>
      <c r="G25" s="212"/>
      <c r="H25" s="390"/>
      <c r="I25" s="391"/>
      <c r="J25" s="393" t="s">
        <v>363</v>
      </c>
      <c r="K25" s="286"/>
      <c r="L25" s="360" t="e">
        <f>#REF!</f>
        <v>#REF!</v>
      </c>
      <c r="M25" s="392"/>
      <c r="N25" s="347" t="s">
        <v>68</v>
      </c>
      <c r="O25" s="309"/>
      <c r="P25" s="283"/>
      <c r="Q25" s="284"/>
      <c r="R25" s="285"/>
      <c r="S25" s="1"/>
    </row>
    <row r="26" spans="5:19" ht="31.5" customHeight="1" thickBot="1">
      <c r="E26" s="374" t="s">
        <v>79</v>
      </c>
      <c r="F26" s="346"/>
      <c r="G26" s="367" t="e">
        <f>IF(#REF!,"",(22.4/18*#REF!)/((#REF!*(273/(273+#REF!))*((#REF!+#REF!)/760)+(22.4/18*#REF!)))*100)</f>
        <v>#REF!</v>
      </c>
      <c r="H26" s="377"/>
      <c r="I26" s="377"/>
      <c r="J26" s="378"/>
      <c r="K26" s="378"/>
      <c r="L26" s="378"/>
      <c r="M26" s="379"/>
      <c r="N26" s="345" t="s">
        <v>70</v>
      </c>
      <c r="O26" s="346"/>
      <c r="P26" s="367">
        <f>P25-P24</f>
        <v>0</v>
      </c>
      <c r="Q26" s="368"/>
      <c r="R26" s="369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36"/>
      <c r="S27" s="1"/>
    </row>
    <row r="28" spans="5:19" s="237" customFormat="1" ht="27.75" customHeight="1">
      <c r="E28" s="239" t="s">
        <v>364</v>
      </c>
      <c r="F28" s="240"/>
      <c r="G28" s="243" t="s">
        <v>123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238"/>
      <c r="S28" s="1"/>
    </row>
    <row r="29" spans="5:19" ht="27.75" customHeight="1" thickBot="1">
      <c r="E29" s="385" t="s">
        <v>359</v>
      </c>
      <c r="F29" s="385"/>
      <c r="G29" s="241">
        <v>0.45555555555555555</v>
      </c>
      <c r="H29" s="242" t="s">
        <v>360</v>
      </c>
      <c r="I29" s="241">
        <f>G29 + TIME(0, F37, 0)</f>
        <v>0.45555555555555555</v>
      </c>
      <c r="J29" s="235"/>
      <c r="K29" s="235"/>
      <c r="L29" s="231"/>
      <c r="M29" s="231"/>
      <c r="N29" s="231"/>
      <c r="O29" s="231"/>
      <c r="P29" s="231"/>
      <c r="Q29" s="231"/>
      <c r="R29" s="231"/>
      <c r="S29" s="1"/>
    </row>
    <row r="30" spans="5:19" ht="45" customHeight="1">
      <c r="E30" s="395" t="s">
        <v>345</v>
      </c>
      <c r="F30" s="380" t="s">
        <v>85</v>
      </c>
      <c r="G30" s="380" t="s">
        <v>365</v>
      </c>
      <c r="H30" s="380" t="s">
        <v>86</v>
      </c>
      <c r="I30" s="380" t="s">
        <v>87</v>
      </c>
      <c r="J30" s="380" t="s">
        <v>352</v>
      </c>
      <c r="K30" s="380" t="s">
        <v>88</v>
      </c>
      <c r="L30" s="380" t="s">
        <v>338</v>
      </c>
      <c r="M30" s="304" t="s">
        <v>90</v>
      </c>
      <c r="N30" s="279"/>
      <c r="O30" s="380" t="s">
        <v>339</v>
      </c>
      <c r="P30" s="382" t="s">
        <v>334</v>
      </c>
      <c r="Q30" s="383"/>
      <c r="R30" s="372" t="s">
        <v>93</v>
      </c>
      <c r="S30" s="1"/>
    </row>
    <row r="31" spans="5:19" ht="46.15" customHeight="1">
      <c r="E31" s="396"/>
      <c r="F31" s="381"/>
      <c r="G31" s="381"/>
      <c r="H31" s="381"/>
      <c r="I31" s="381"/>
      <c r="J31" s="381"/>
      <c r="K31" s="381"/>
      <c r="L31" s="381"/>
      <c r="M31" s="12" t="s">
        <v>95</v>
      </c>
      <c r="N31" s="12" t="s">
        <v>96</v>
      </c>
      <c r="O31" s="381"/>
      <c r="P31" s="384"/>
      <c r="Q31" s="364"/>
      <c r="R31" s="373"/>
      <c r="S31" s="1"/>
    </row>
    <row r="32" spans="5:19" ht="31.5" customHeight="1">
      <c r="E32" s="13">
        <v>1</v>
      </c>
      <c r="F32" s="200"/>
      <c r="G32" s="202"/>
      <c r="H32" s="202"/>
      <c r="I32" s="203"/>
      <c r="J32" s="194"/>
      <c r="K32" s="202"/>
      <c r="L32" s="204"/>
      <c r="M32" s="204"/>
      <c r="N32" s="204"/>
      <c r="O32" s="204"/>
      <c r="P32" s="300"/>
      <c r="Q32" s="376"/>
      <c r="R32" s="14"/>
      <c r="S32" s="1"/>
    </row>
    <row r="33" spans="5:19" ht="31.5" customHeight="1">
      <c r="E33" s="13">
        <v>2</v>
      </c>
      <c r="F33" s="204"/>
      <c r="G33" s="202"/>
      <c r="H33" s="202"/>
      <c r="I33" s="203"/>
      <c r="J33" s="194"/>
      <c r="K33" s="202"/>
      <c r="L33" s="204"/>
      <c r="M33" s="204"/>
      <c r="N33" s="204"/>
      <c r="O33" s="204"/>
      <c r="P33" s="300"/>
      <c r="Q33" s="376"/>
      <c r="R33" s="14"/>
      <c r="S33" s="1"/>
    </row>
    <row r="34" spans="5:19" ht="31.5" customHeight="1">
      <c r="E34" s="13">
        <v>3</v>
      </c>
      <c r="F34" s="204"/>
      <c r="G34" s="204"/>
      <c r="H34" s="202"/>
      <c r="I34" s="202"/>
      <c r="J34" s="194"/>
      <c r="K34" s="204"/>
      <c r="L34" s="204"/>
      <c r="M34" s="204"/>
      <c r="N34" s="204"/>
      <c r="O34" s="204"/>
      <c r="P34" s="300"/>
      <c r="Q34" s="276"/>
      <c r="R34" s="14"/>
      <c r="S34" s="1"/>
    </row>
    <row r="35" spans="5:19" ht="31.5" customHeight="1">
      <c r="E35" s="13">
        <v>4</v>
      </c>
      <c r="F35" s="204"/>
      <c r="G35" s="204"/>
      <c r="H35" s="202"/>
      <c r="I35" s="202"/>
      <c r="J35" s="194"/>
      <c r="K35" s="204"/>
      <c r="L35" s="204"/>
      <c r="M35" s="204"/>
      <c r="N35" s="204"/>
      <c r="O35" s="204"/>
      <c r="P35" s="300"/>
      <c r="Q35" s="276"/>
      <c r="R35" s="14"/>
      <c r="S35" s="1"/>
    </row>
    <row r="36" spans="5:19" ht="31.5" customHeight="1">
      <c r="E36" s="13">
        <v>5</v>
      </c>
      <c r="F36" s="204"/>
      <c r="G36" s="204"/>
      <c r="H36" s="202"/>
      <c r="I36" s="202"/>
      <c r="J36" s="194"/>
      <c r="K36" s="204"/>
      <c r="L36" s="204"/>
      <c r="M36" s="204"/>
      <c r="N36" s="204"/>
      <c r="O36" s="204"/>
      <c r="P36" s="300"/>
      <c r="Q36" s="276"/>
      <c r="R36" s="14"/>
      <c r="S36" s="1"/>
    </row>
    <row r="37" spans="5:19" ht="31.5" customHeight="1">
      <c r="E37" s="13" t="s">
        <v>103</v>
      </c>
      <c r="F37" s="196"/>
      <c r="G37" s="196"/>
      <c r="H37" s="197"/>
      <c r="I37" s="197"/>
      <c r="J37" s="194"/>
      <c r="K37" s="196"/>
      <c r="L37" s="196"/>
      <c r="M37" s="196"/>
      <c r="N37" s="196"/>
      <c r="O37" s="196"/>
      <c r="P37" s="301"/>
      <c r="Q37" s="245"/>
      <c r="R37" s="14"/>
      <c r="S37" s="1"/>
    </row>
    <row r="38" spans="5:19" ht="31.5" customHeight="1" thickBot="1">
      <c r="E38" s="365" t="s">
        <v>105</v>
      </c>
      <c r="F38" s="366"/>
      <c r="G38" s="195"/>
      <c r="H38" s="195"/>
      <c r="I38" s="195"/>
      <c r="J38" s="195"/>
      <c r="K38" s="195"/>
      <c r="L38" s="195"/>
      <c r="M38" s="375"/>
      <c r="N38" s="303"/>
      <c r="O38" s="195"/>
      <c r="P38" s="302"/>
      <c r="Q38" s="303"/>
      <c r="R38" s="15"/>
      <c r="S38" s="1"/>
    </row>
    <row r="39" spans="5:19" ht="10.5" customHeight="1">
      <c r="E39" s="16"/>
      <c r="F39" s="16"/>
      <c r="G39" s="16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70" t="s">
        <v>340</v>
      </c>
      <c r="F40" s="371"/>
      <c r="G40" s="371"/>
      <c r="H40" s="371"/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1"/>
    </row>
    <row r="41" spans="5:19" ht="69" customHeight="1">
      <c r="E41" s="17" t="s">
        <v>109</v>
      </c>
      <c r="F41" s="18" t="s">
        <v>342</v>
      </c>
      <c r="G41" s="19" t="s">
        <v>111</v>
      </c>
      <c r="H41" s="19" t="s">
        <v>112</v>
      </c>
      <c r="I41" s="19" t="s">
        <v>113</v>
      </c>
      <c r="J41" s="226" t="s">
        <v>114</v>
      </c>
      <c r="K41" s="227" t="s">
        <v>85</v>
      </c>
      <c r="L41" s="20" t="s">
        <v>109</v>
      </c>
      <c r="M41" s="18" t="s">
        <v>110</v>
      </c>
      <c r="N41" s="19" t="s">
        <v>111</v>
      </c>
      <c r="O41" s="19" t="s">
        <v>112</v>
      </c>
      <c r="P41" s="19" t="s">
        <v>113</v>
      </c>
      <c r="Q41" s="226" t="s">
        <v>114</v>
      </c>
      <c r="R41" s="228" t="s">
        <v>85</v>
      </c>
      <c r="S41" s="1"/>
    </row>
    <row r="42" spans="5:19" ht="31.5" customHeight="1">
      <c r="E42" s="21">
        <v>1</v>
      </c>
      <c r="F42" s="234"/>
      <c r="G42" s="205"/>
      <c r="H42" s="205"/>
      <c r="I42" s="205"/>
      <c r="J42" s="224"/>
      <c r="K42" s="229"/>
      <c r="L42" s="214">
        <v>10</v>
      </c>
      <c r="M42" s="23"/>
      <c r="N42" s="205"/>
      <c r="O42" s="205"/>
      <c r="P42" s="205"/>
      <c r="Q42" s="224"/>
      <c r="R42" s="221"/>
      <c r="S42" s="1"/>
    </row>
    <row r="43" spans="5:19" ht="31.5" customHeight="1">
      <c r="E43" s="21">
        <v>2</v>
      </c>
      <c r="F43" s="4"/>
      <c r="G43" s="205"/>
      <c r="H43" s="205"/>
      <c r="I43" s="205"/>
      <c r="J43" s="224"/>
      <c r="K43" s="229"/>
      <c r="L43" s="214">
        <v>11</v>
      </c>
      <c r="M43" s="234"/>
      <c r="N43" s="205"/>
      <c r="O43" s="205"/>
      <c r="P43" s="205"/>
      <c r="Q43" s="224"/>
      <c r="R43" s="221"/>
      <c r="S43" s="1"/>
    </row>
    <row r="44" spans="5:19" ht="31.5" customHeight="1">
      <c r="E44" s="21">
        <v>3</v>
      </c>
      <c r="F44" s="234"/>
      <c r="G44" s="205"/>
      <c r="H44" s="205"/>
      <c r="I44" s="205"/>
      <c r="J44" s="224"/>
      <c r="K44" s="229"/>
      <c r="L44" s="214">
        <v>12</v>
      </c>
      <c r="M44" s="4"/>
      <c r="N44" s="205"/>
      <c r="O44" s="205"/>
      <c r="P44" s="205"/>
      <c r="Q44" s="224"/>
      <c r="R44" s="221"/>
      <c r="S44" s="1"/>
    </row>
    <row r="45" spans="5:19" ht="31.5" customHeight="1">
      <c r="E45" s="21">
        <v>4</v>
      </c>
      <c r="F45" s="233"/>
      <c r="G45" s="205"/>
      <c r="H45" s="205"/>
      <c r="I45" s="205"/>
      <c r="J45" s="224"/>
      <c r="K45" s="220"/>
      <c r="L45" s="214">
        <v>13</v>
      </c>
      <c r="M45" s="4"/>
      <c r="N45" s="205"/>
      <c r="O45" s="205"/>
      <c r="P45" s="205"/>
      <c r="Q45" s="224"/>
      <c r="R45" s="221"/>
      <c r="S45" s="1"/>
    </row>
    <row r="46" spans="5:19" ht="31.5" customHeight="1">
      <c r="E46" s="21">
        <v>5</v>
      </c>
      <c r="F46" s="234"/>
      <c r="G46" s="205"/>
      <c r="H46" s="205"/>
      <c r="I46" s="205"/>
      <c r="J46" s="224"/>
      <c r="K46" s="220"/>
      <c r="L46" s="214">
        <v>14</v>
      </c>
      <c r="M46" s="4"/>
      <c r="N46" s="205"/>
      <c r="O46" s="205"/>
      <c r="P46" s="205"/>
      <c r="Q46" s="224"/>
      <c r="R46" s="221"/>
      <c r="S46" s="1"/>
    </row>
    <row r="47" spans="5:19" ht="31.5" customHeight="1">
      <c r="E47" s="21">
        <v>6</v>
      </c>
      <c r="F47" s="234"/>
      <c r="G47" s="205"/>
      <c r="H47" s="205"/>
      <c r="I47" s="205"/>
      <c r="J47" s="224"/>
      <c r="K47" s="220"/>
      <c r="L47" s="214">
        <v>15</v>
      </c>
      <c r="M47" s="23"/>
      <c r="N47" s="205"/>
      <c r="O47" s="205"/>
      <c r="P47" s="205"/>
      <c r="Q47" s="224"/>
      <c r="R47" s="221"/>
      <c r="S47" s="1"/>
    </row>
    <row r="48" spans="5:19" ht="31.5" customHeight="1">
      <c r="E48" s="21">
        <v>7</v>
      </c>
      <c r="F48" s="4"/>
      <c r="G48" s="205"/>
      <c r="H48" s="205"/>
      <c r="I48" s="205"/>
      <c r="J48" s="224"/>
      <c r="K48" s="220"/>
      <c r="L48" s="214">
        <v>16</v>
      </c>
      <c r="M48" s="4"/>
      <c r="N48" s="205"/>
      <c r="O48" s="205"/>
      <c r="P48" s="205"/>
      <c r="Q48" s="224"/>
      <c r="R48" s="221"/>
      <c r="S48" s="1"/>
    </row>
    <row r="49" spans="5:19" ht="31.5" customHeight="1">
      <c r="E49" s="21">
        <v>8</v>
      </c>
      <c r="F49" s="4"/>
      <c r="G49" s="205"/>
      <c r="H49" s="205"/>
      <c r="I49" s="205"/>
      <c r="J49" s="224"/>
      <c r="K49" s="220"/>
      <c r="L49" s="11">
        <v>17</v>
      </c>
      <c r="M49" s="207"/>
      <c r="N49" s="208"/>
      <c r="O49" s="208"/>
      <c r="P49" s="208"/>
      <c r="Q49" s="224"/>
      <c r="R49" s="221"/>
      <c r="S49" s="1"/>
    </row>
    <row r="50" spans="5:19" ht="31.5" customHeight="1" thickBot="1">
      <c r="E50" s="24">
        <v>9</v>
      </c>
      <c r="F50" s="216"/>
      <c r="G50" s="217"/>
      <c r="H50" s="217"/>
      <c r="I50" s="217"/>
      <c r="J50" s="225"/>
      <c r="K50" s="223"/>
      <c r="L50" s="218">
        <v>18</v>
      </c>
      <c r="M50" s="5"/>
      <c r="N50" s="206"/>
      <c r="O50" s="206"/>
      <c r="P50" s="206"/>
      <c r="Q50" s="225"/>
      <c r="R50" s="222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6"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  <mergeCell ref="G17:H17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21:F21"/>
    <mergeCell ref="E18:F19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O2:P2"/>
    <mergeCell ref="Q2:R2"/>
    <mergeCell ref="N4:O4"/>
    <mergeCell ref="E16:F16"/>
    <mergeCell ref="P24:R24"/>
    <mergeCell ref="J22:K22"/>
    <mergeCell ref="E15:F15"/>
    <mergeCell ref="P12:Q12"/>
    <mergeCell ref="P10:Q10"/>
    <mergeCell ref="N13:O13"/>
    <mergeCell ref="E13:F13"/>
    <mergeCell ref="E14:F14"/>
    <mergeCell ref="G14:H14"/>
    <mergeCell ref="G12:I12"/>
    <mergeCell ref="N11:O11"/>
    <mergeCell ref="K16:L16"/>
    <mergeCell ref="K17:L17"/>
    <mergeCell ref="K18:L18"/>
    <mergeCell ref="E24:F24"/>
    <mergeCell ref="P16:Q16"/>
    <mergeCell ref="N17:O17"/>
    <mergeCell ref="E12:F12"/>
    <mergeCell ref="G15:I15"/>
    <mergeCell ref="G13:I13"/>
    <mergeCell ref="G11:H11"/>
    <mergeCell ref="Q6:R7"/>
    <mergeCell ref="N16:O16"/>
    <mergeCell ref="G16:I16"/>
    <mergeCell ref="J10:M15"/>
    <mergeCell ref="P6:P7"/>
    <mergeCell ref="N5:O5"/>
    <mergeCell ref="N6:O7"/>
    <mergeCell ref="P14:Q14"/>
    <mergeCell ref="P15:Q15"/>
    <mergeCell ref="P13:Q13"/>
    <mergeCell ref="P11:Q11"/>
    <mergeCell ref="N14:O14"/>
    <mergeCell ref="N15:O15"/>
  </mergeCells>
  <phoneticPr fontId="53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437" t="s">
        <v>0</v>
      </c>
      <c r="B2" s="436"/>
      <c r="C2" s="439"/>
      <c r="D2" s="436"/>
      <c r="E2" s="440" t="s">
        <v>1</v>
      </c>
      <c r="F2" s="421"/>
      <c r="G2" s="421"/>
      <c r="H2" s="421"/>
      <c r="I2" s="421"/>
      <c r="J2" s="436"/>
      <c r="K2" s="278" t="s">
        <v>130</v>
      </c>
      <c r="L2" s="436"/>
      <c r="M2" s="439"/>
      <c r="N2" s="443"/>
    </row>
    <row r="3" spans="1:14" ht="27.75" customHeight="1">
      <c r="A3" s="438" t="s">
        <v>131</v>
      </c>
      <c r="B3" s="412"/>
      <c r="C3" s="412"/>
      <c r="D3" s="412"/>
      <c r="E3" s="412"/>
      <c r="F3" s="412"/>
      <c r="G3" s="412"/>
      <c r="H3" s="412"/>
      <c r="I3" s="410"/>
      <c r="J3" s="415" t="s">
        <v>4</v>
      </c>
      <c r="K3" s="412"/>
      <c r="L3" s="412"/>
      <c r="M3" s="412"/>
      <c r="N3" s="417"/>
    </row>
    <row r="4" spans="1:14" ht="24.75" customHeight="1">
      <c r="A4" s="409" t="s">
        <v>3</v>
      </c>
      <c r="B4" s="410"/>
      <c r="C4" s="415"/>
      <c r="D4" s="412"/>
      <c r="E4" s="412"/>
      <c r="F4" s="412"/>
      <c r="G4" s="412"/>
      <c r="H4" s="412"/>
      <c r="I4" s="410"/>
      <c r="J4" s="416" t="s">
        <v>7</v>
      </c>
      <c r="K4" s="410"/>
      <c r="L4" s="415" t="s">
        <v>132</v>
      </c>
      <c r="M4" s="412"/>
      <c r="N4" s="417"/>
    </row>
    <row r="5" spans="1:14" ht="24.75" customHeight="1">
      <c r="A5" s="401" t="s">
        <v>11</v>
      </c>
      <c r="B5" s="402"/>
      <c r="C5" s="408"/>
      <c r="D5" s="414"/>
      <c r="E5" s="414"/>
      <c r="F5" s="414"/>
      <c r="G5" s="414"/>
      <c r="H5" s="414"/>
      <c r="I5" s="414"/>
      <c r="J5" s="441" t="s">
        <v>128</v>
      </c>
      <c r="K5" s="402"/>
      <c r="L5" s="408" t="s">
        <v>133</v>
      </c>
      <c r="M5" s="414"/>
      <c r="N5" s="442"/>
    </row>
    <row r="6" spans="1:14" ht="15" customHeight="1">
      <c r="A6" s="343"/>
      <c r="B6" s="344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</row>
    <row r="7" spans="1:14" ht="27.75" customHeight="1">
      <c r="A7" s="418" t="s">
        <v>20</v>
      </c>
      <c r="B7" s="419"/>
      <c r="C7" s="419"/>
      <c r="D7" s="419"/>
      <c r="E7" s="419"/>
      <c r="F7" s="419"/>
      <c r="G7" s="419"/>
      <c r="H7" s="419"/>
      <c r="I7" s="419"/>
      <c r="J7" s="419"/>
      <c r="K7" s="419"/>
      <c r="L7" s="419"/>
      <c r="M7" s="419"/>
      <c r="N7" s="419"/>
    </row>
    <row r="8" spans="1:14" ht="31.5" customHeight="1">
      <c r="A8" s="437" t="s">
        <v>23</v>
      </c>
      <c r="B8" s="436"/>
      <c r="C8" s="420"/>
      <c r="D8" s="421"/>
      <c r="E8" s="32" t="s">
        <v>24</v>
      </c>
      <c r="F8" s="422"/>
      <c r="G8" s="423"/>
      <c r="H8" s="428"/>
      <c r="I8" s="429"/>
      <c r="J8" s="435" t="s">
        <v>25</v>
      </c>
      <c r="K8" s="436"/>
      <c r="L8" s="420"/>
      <c r="M8" s="421"/>
      <c r="N8" s="33"/>
    </row>
    <row r="9" spans="1:14" ht="31.5" customHeight="1">
      <c r="A9" s="409" t="s">
        <v>28</v>
      </c>
      <c r="B9" s="410"/>
      <c r="C9" s="415"/>
      <c r="D9" s="410"/>
      <c r="E9" s="34" t="s">
        <v>24</v>
      </c>
      <c r="F9" s="424"/>
      <c r="G9" s="425"/>
      <c r="H9" s="430"/>
      <c r="I9" s="431"/>
      <c r="J9" s="434" t="s">
        <v>29</v>
      </c>
      <c r="K9" s="407"/>
      <c r="L9" s="415"/>
      <c r="M9" s="412"/>
      <c r="N9" s="35" t="s">
        <v>30</v>
      </c>
    </row>
    <row r="10" spans="1:14" ht="31.5" customHeight="1">
      <c r="A10" s="409" t="s">
        <v>134</v>
      </c>
      <c r="B10" s="410"/>
      <c r="C10" s="411"/>
      <c r="D10" s="412"/>
      <c r="E10" s="34" t="s">
        <v>135</v>
      </c>
      <c r="F10" s="426"/>
      <c r="G10" s="427"/>
      <c r="H10" s="432"/>
      <c r="I10" s="433"/>
      <c r="J10" s="434" t="s">
        <v>34</v>
      </c>
      <c r="K10" s="407"/>
      <c r="L10" s="415"/>
      <c r="M10" s="412"/>
      <c r="N10" s="35" t="s">
        <v>24</v>
      </c>
    </row>
    <row r="11" spans="1:14" ht="31.5" customHeight="1">
      <c r="A11" s="409" t="s">
        <v>36</v>
      </c>
      <c r="B11" s="410"/>
      <c r="C11" s="411"/>
      <c r="D11" s="412"/>
      <c r="E11" s="410"/>
      <c r="F11" s="453"/>
      <c r="G11" s="454"/>
      <c r="H11" s="457"/>
      <c r="I11" s="458"/>
      <c r="J11" s="434" t="s">
        <v>37</v>
      </c>
      <c r="K11" s="407"/>
      <c r="L11" s="411"/>
      <c r="M11" s="412"/>
      <c r="N11" s="417"/>
    </row>
    <row r="12" spans="1:14" ht="31.5" customHeight="1">
      <c r="A12" s="409" t="s">
        <v>39</v>
      </c>
      <c r="B12" s="410"/>
      <c r="C12" s="411"/>
      <c r="D12" s="410"/>
      <c r="E12" s="37" t="s">
        <v>24</v>
      </c>
      <c r="F12" s="424"/>
      <c r="G12" s="425"/>
      <c r="H12" s="430"/>
      <c r="I12" s="431"/>
      <c r="J12" s="448" t="s">
        <v>40</v>
      </c>
      <c r="K12" s="410"/>
      <c r="L12" s="449"/>
      <c r="M12" s="412"/>
      <c r="N12" s="417"/>
    </row>
    <row r="13" spans="1:14" ht="31.5" customHeight="1">
      <c r="A13" s="409" t="s">
        <v>43</v>
      </c>
      <c r="B13" s="410"/>
      <c r="C13" s="415"/>
      <c r="D13" s="412"/>
      <c r="E13" s="410"/>
      <c r="F13" s="455"/>
      <c r="G13" s="456"/>
      <c r="H13" s="459"/>
      <c r="I13" s="452"/>
      <c r="J13" s="448" t="s">
        <v>44</v>
      </c>
      <c r="K13" s="410"/>
      <c r="L13" s="411"/>
      <c r="M13" s="412"/>
      <c r="N13" s="417"/>
    </row>
    <row r="14" spans="1:14" ht="31.5" customHeight="1">
      <c r="A14" s="409" t="s">
        <v>47</v>
      </c>
      <c r="B14" s="410"/>
      <c r="C14" s="449" t="s">
        <v>136</v>
      </c>
      <c r="D14" s="412"/>
      <c r="E14" s="410"/>
      <c r="F14" s="9" t="s">
        <v>48</v>
      </c>
      <c r="G14" s="450"/>
      <c r="H14" s="451"/>
      <c r="I14" s="452"/>
      <c r="J14" s="416" t="s">
        <v>49</v>
      </c>
      <c r="K14" s="410"/>
      <c r="L14" s="411"/>
      <c r="M14" s="412"/>
      <c r="N14" s="35" t="s">
        <v>50</v>
      </c>
    </row>
    <row r="15" spans="1:14" ht="31.5" customHeight="1">
      <c r="A15" s="409" t="s">
        <v>53</v>
      </c>
      <c r="B15" s="410"/>
      <c r="C15" s="411"/>
      <c r="D15" s="412"/>
      <c r="E15" s="10" t="s">
        <v>54</v>
      </c>
      <c r="F15" s="10" t="s">
        <v>55</v>
      </c>
      <c r="G15" s="415"/>
      <c r="H15" s="412"/>
      <c r="I15" s="410"/>
      <c r="J15" s="448" t="s">
        <v>56</v>
      </c>
      <c r="K15" s="410"/>
      <c r="L15" s="411"/>
      <c r="M15" s="412"/>
      <c r="N15" s="35" t="s">
        <v>50</v>
      </c>
    </row>
    <row r="16" spans="1:14" ht="31.5" customHeight="1">
      <c r="A16" s="409" t="s">
        <v>137</v>
      </c>
      <c r="B16" s="410"/>
      <c r="C16" s="415"/>
      <c r="D16" s="412"/>
      <c r="E16" s="10" t="s">
        <v>54</v>
      </c>
      <c r="F16" s="10" t="s">
        <v>60</v>
      </c>
      <c r="G16" s="415"/>
      <c r="H16" s="412"/>
      <c r="I16" s="410"/>
      <c r="J16" s="416" t="s">
        <v>61</v>
      </c>
      <c r="K16" s="412"/>
      <c r="L16" s="412"/>
      <c r="M16" s="412"/>
      <c r="N16" s="417"/>
    </row>
    <row r="17" spans="1:14" ht="31.5" customHeight="1">
      <c r="A17" s="409" t="s">
        <v>59</v>
      </c>
      <c r="B17" s="410"/>
      <c r="C17" s="415"/>
      <c r="D17" s="412"/>
      <c r="E17" s="10" t="s">
        <v>54</v>
      </c>
      <c r="F17" s="10" t="s">
        <v>62</v>
      </c>
      <c r="G17" s="415"/>
      <c r="H17" s="412"/>
      <c r="I17" s="410"/>
      <c r="J17" s="416" t="s">
        <v>138</v>
      </c>
      <c r="K17" s="410"/>
      <c r="L17" s="411"/>
      <c r="M17" s="412"/>
      <c r="N17" s="417"/>
    </row>
    <row r="18" spans="1:14" ht="31.5" customHeight="1">
      <c r="A18" s="401" t="s">
        <v>139</v>
      </c>
      <c r="B18" s="402"/>
      <c r="C18" s="413"/>
      <c r="D18" s="414"/>
      <c r="E18" s="38" t="s">
        <v>24</v>
      </c>
      <c r="F18" s="39" t="s">
        <v>63</v>
      </c>
      <c r="G18" s="408"/>
      <c r="H18" s="414"/>
      <c r="I18" s="402"/>
      <c r="J18" s="441" t="s">
        <v>140</v>
      </c>
      <c r="K18" s="402"/>
      <c r="L18" s="413"/>
      <c r="M18" s="414"/>
      <c r="N18" s="442"/>
    </row>
    <row r="19" spans="1:14" ht="31.5" customHeight="1">
      <c r="A19" s="403" t="s">
        <v>124</v>
      </c>
      <c r="B19" s="404"/>
      <c r="C19" s="350" t="s">
        <v>141</v>
      </c>
      <c r="D19" s="407"/>
      <c r="E19" s="460" t="s">
        <v>69</v>
      </c>
      <c r="F19" s="407"/>
      <c r="G19" s="40" t="s">
        <v>72</v>
      </c>
      <c r="H19" s="40" t="s">
        <v>74</v>
      </c>
      <c r="I19" s="350" t="s">
        <v>142</v>
      </c>
      <c r="J19" s="407"/>
      <c r="K19" s="434" t="s">
        <v>143</v>
      </c>
      <c r="L19" s="461"/>
      <c r="M19" s="461"/>
      <c r="N19" s="462"/>
    </row>
    <row r="20" spans="1:14" ht="31.5" customHeight="1">
      <c r="A20" s="405"/>
      <c r="B20" s="406"/>
      <c r="C20" s="408"/>
      <c r="D20" s="402"/>
      <c r="E20" s="6"/>
      <c r="F20" s="39"/>
      <c r="G20" s="5"/>
      <c r="H20" s="39"/>
      <c r="I20" s="408"/>
      <c r="J20" s="402"/>
      <c r="K20" s="463" t="s">
        <v>144</v>
      </c>
      <c r="L20" s="402"/>
      <c r="M20" s="464" t="s">
        <v>145</v>
      </c>
      <c r="N20" s="442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47" t="s">
        <v>146</v>
      </c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431"/>
    </row>
    <row r="23" spans="1:14" ht="45" customHeight="1">
      <c r="A23" s="395" t="s">
        <v>84</v>
      </c>
      <c r="B23" s="380" t="s">
        <v>147</v>
      </c>
      <c r="C23" s="380" t="s">
        <v>148</v>
      </c>
      <c r="D23" s="380" t="s">
        <v>149</v>
      </c>
      <c r="E23" s="380" t="s">
        <v>150</v>
      </c>
      <c r="F23" s="380" t="s">
        <v>151</v>
      </c>
      <c r="G23" s="380" t="s">
        <v>152</v>
      </c>
      <c r="H23" s="380" t="s">
        <v>89</v>
      </c>
      <c r="I23" s="304" t="s">
        <v>90</v>
      </c>
      <c r="J23" s="436"/>
      <c r="K23" s="380" t="s">
        <v>91</v>
      </c>
      <c r="L23" s="382" t="s">
        <v>92</v>
      </c>
      <c r="M23" s="466"/>
      <c r="N23" s="372" t="s">
        <v>93</v>
      </c>
    </row>
    <row r="24" spans="1:14" ht="45" customHeight="1">
      <c r="A24" s="445"/>
      <c r="B24" s="444"/>
      <c r="C24" s="444"/>
      <c r="D24" s="444"/>
      <c r="E24" s="444"/>
      <c r="F24" s="444"/>
      <c r="G24" s="444"/>
      <c r="H24" s="444"/>
      <c r="I24" s="12" t="s">
        <v>95</v>
      </c>
      <c r="J24" s="12" t="s">
        <v>96</v>
      </c>
      <c r="K24" s="444"/>
      <c r="L24" s="455"/>
      <c r="M24" s="451"/>
      <c r="N24" s="465"/>
    </row>
    <row r="25" spans="1:14" ht="31.5" customHeight="1">
      <c r="A25" s="13">
        <v>1</v>
      </c>
      <c r="B25" s="4"/>
      <c r="C25" s="36"/>
      <c r="D25" s="36"/>
      <c r="E25" s="36"/>
      <c r="F25" s="36"/>
      <c r="G25" s="36"/>
      <c r="H25" s="36"/>
      <c r="I25" s="36"/>
      <c r="J25" s="36"/>
      <c r="K25" s="36"/>
      <c r="L25" s="467"/>
      <c r="M25" s="412"/>
      <c r="N25" s="14"/>
    </row>
    <row r="26" spans="1:14" ht="31.5" customHeight="1">
      <c r="A26" s="13">
        <v>2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467"/>
      <c r="M26" s="412"/>
      <c r="N26" s="14"/>
    </row>
    <row r="27" spans="1:14" ht="31.5" customHeight="1">
      <c r="A27" s="13">
        <v>3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468"/>
      <c r="M27" s="412"/>
      <c r="N27" s="14"/>
    </row>
    <row r="28" spans="1:14" ht="31.5" customHeight="1">
      <c r="A28" s="13">
        <v>4</v>
      </c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468"/>
      <c r="M28" s="412"/>
      <c r="N28" s="14"/>
    </row>
    <row r="29" spans="1:14" ht="31.5" customHeight="1">
      <c r="A29" s="13">
        <v>5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468"/>
      <c r="M29" s="412"/>
      <c r="N29" s="14"/>
    </row>
    <row r="30" spans="1:14" ht="31.5" customHeight="1">
      <c r="A30" s="13" t="s">
        <v>103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468"/>
      <c r="M30" s="412"/>
      <c r="N30" s="14"/>
    </row>
    <row r="31" spans="1:14" ht="31.5" customHeight="1">
      <c r="A31" s="365" t="s">
        <v>105</v>
      </c>
      <c r="B31" s="406"/>
      <c r="C31" s="41"/>
      <c r="D31" s="41"/>
      <c r="E31" s="41"/>
      <c r="F31" s="41"/>
      <c r="G31" s="42"/>
      <c r="H31" s="42"/>
      <c r="I31" s="446"/>
      <c r="J31" s="402"/>
      <c r="K31" s="41"/>
      <c r="L31" s="446"/>
      <c r="M31" s="414"/>
      <c r="N31" s="15"/>
    </row>
    <row r="32" spans="1:14" ht="10.5" customHeight="1">
      <c r="A32" s="16"/>
      <c r="B32" s="16"/>
      <c r="C32" s="16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47" t="s">
        <v>108</v>
      </c>
      <c r="B33" s="344"/>
      <c r="C33" s="344"/>
      <c r="D33" s="344"/>
      <c r="E33" s="344"/>
      <c r="F33" s="344"/>
      <c r="G33" s="344"/>
      <c r="H33" s="344"/>
      <c r="I33" s="344"/>
      <c r="J33" s="344"/>
      <c r="K33" s="344"/>
      <c r="L33" s="344"/>
      <c r="M33" s="344"/>
      <c r="N33" s="344"/>
    </row>
    <row r="34" spans="1:14" ht="60" customHeight="1">
      <c r="A34" s="17" t="s">
        <v>109</v>
      </c>
      <c r="B34" s="18" t="s">
        <v>110</v>
      </c>
      <c r="C34" s="19" t="s">
        <v>111</v>
      </c>
      <c r="D34" s="19" t="s">
        <v>112</v>
      </c>
      <c r="E34" s="19" t="s">
        <v>113</v>
      </c>
      <c r="F34" s="304" t="s">
        <v>114</v>
      </c>
      <c r="G34" s="436"/>
      <c r="H34" s="20" t="s">
        <v>109</v>
      </c>
      <c r="I34" s="18" t="s">
        <v>110</v>
      </c>
      <c r="J34" s="19" t="s">
        <v>111</v>
      </c>
      <c r="K34" s="19" t="s">
        <v>112</v>
      </c>
      <c r="L34" s="19" t="s">
        <v>113</v>
      </c>
      <c r="M34" s="304" t="s">
        <v>114</v>
      </c>
      <c r="N34" s="443"/>
    </row>
    <row r="35" spans="1:14" ht="31.5" customHeight="1">
      <c r="A35" s="21">
        <v>1</v>
      </c>
      <c r="B35" s="43"/>
      <c r="C35" s="43"/>
      <c r="D35" s="43"/>
      <c r="E35" s="43"/>
      <c r="F35" s="415"/>
      <c r="G35" s="410"/>
      <c r="H35" s="22">
        <v>9</v>
      </c>
      <c r="I35" s="43"/>
      <c r="J35" s="43"/>
      <c r="K35" s="43"/>
      <c r="L35" s="43"/>
      <c r="M35" s="415"/>
      <c r="N35" s="417"/>
    </row>
    <row r="36" spans="1:14" ht="31.5" customHeight="1">
      <c r="A36" s="21">
        <v>2</v>
      </c>
      <c r="B36" s="43"/>
      <c r="C36" s="43"/>
      <c r="D36" s="43"/>
      <c r="E36" s="43"/>
      <c r="F36" s="415"/>
      <c r="G36" s="410"/>
      <c r="H36" s="22">
        <v>10</v>
      </c>
      <c r="I36" s="43"/>
      <c r="J36" s="43"/>
      <c r="K36" s="43"/>
      <c r="L36" s="43"/>
      <c r="M36" s="415"/>
      <c r="N36" s="417"/>
    </row>
    <row r="37" spans="1:14" ht="31.5" customHeight="1">
      <c r="A37" s="21">
        <v>3</v>
      </c>
      <c r="B37" s="43"/>
      <c r="C37" s="43"/>
      <c r="D37" s="43"/>
      <c r="E37" s="43"/>
      <c r="F37" s="415"/>
      <c r="G37" s="410"/>
      <c r="H37" s="22">
        <v>11</v>
      </c>
      <c r="I37" s="43"/>
      <c r="J37" s="43"/>
      <c r="K37" s="43"/>
      <c r="L37" s="43"/>
      <c r="M37" s="415"/>
      <c r="N37" s="417"/>
    </row>
    <row r="38" spans="1:14" ht="31.5" customHeight="1">
      <c r="A38" s="21">
        <v>4</v>
      </c>
      <c r="B38" s="43"/>
      <c r="C38" s="43"/>
      <c r="D38" s="43"/>
      <c r="E38" s="43"/>
      <c r="F38" s="415"/>
      <c r="G38" s="410"/>
      <c r="H38" s="22">
        <v>12</v>
      </c>
      <c r="I38" s="43"/>
      <c r="J38" s="43"/>
      <c r="K38" s="43"/>
      <c r="L38" s="43"/>
      <c r="M38" s="415"/>
      <c r="N38" s="417"/>
    </row>
    <row r="39" spans="1:14" ht="31.5" customHeight="1">
      <c r="A39" s="21">
        <v>5</v>
      </c>
      <c r="B39" s="43"/>
      <c r="C39" s="43"/>
      <c r="D39" s="43"/>
      <c r="E39" s="43"/>
      <c r="F39" s="415"/>
      <c r="G39" s="410"/>
      <c r="H39" s="22">
        <v>13</v>
      </c>
      <c r="I39" s="43"/>
      <c r="J39" s="43"/>
      <c r="K39" s="43"/>
      <c r="L39" s="43"/>
      <c r="M39" s="415"/>
      <c r="N39" s="417"/>
    </row>
    <row r="40" spans="1:14" ht="31.5" customHeight="1">
      <c r="A40" s="21">
        <v>6</v>
      </c>
      <c r="B40" s="43"/>
      <c r="C40" s="43"/>
      <c r="D40" s="43"/>
      <c r="E40" s="43"/>
      <c r="F40" s="415"/>
      <c r="G40" s="410"/>
      <c r="H40" s="22">
        <v>14</v>
      </c>
      <c r="I40" s="43"/>
      <c r="J40" s="43"/>
      <c r="K40" s="43"/>
      <c r="L40" s="43"/>
      <c r="M40" s="415"/>
      <c r="N40" s="417"/>
    </row>
    <row r="41" spans="1:14" ht="31.5" customHeight="1">
      <c r="A41" s="21">
        <v>7</v>
      </c>
      <c r="B41" s="43"/>
      <c r="C41" s="43"/>
      <c r="D41" s="43"/>
      <c r="E41" s="43"/>
      <c r="F41" s="415"/>
      <c r="G41" s="410"/>
      <c r="H41" s="22">
        <v>15</v>
      </c>
      <c r="I41" s="43"/>
      <c r="J41" s="43"/>
      <c r="K41" s="43"/>
      <c r="L41" s="43"/>
      <c r="M41" s="415"/>
      <c r="N41" s="417"/>
    </row>
    <row r="42" spans="1:14" ht="31.5" customHeight="1">
      <c r="A42" s="44">
        <v>8</v>
      </c>
      <c r="B42" s="45"/>
      <c r="C42" s="45"/>
      <c r="D42" s="45"/>
      <c r="E42" s="45"/>
      <c r="F42" s="408"/>
      <c r="G42" s="402"/>
      <c r="H42" s="46">
        <v>16</v>
      </c>
      <c r="I42" s="45"/>
      <c r="J42" s="45"/>
      <c r="K42" s="45"/>
      <c r="L42" s="45"/>
      <c r="M42" s="408"/>
      <c r="N42" s="442"/>
    </row>
    <row r="43" spans="1:14" ht="12.75" customHeight="1">
      <c r="A43" s="3"/>
      <c r="B43" s="3"/>
      <c r="C43" s="16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</mergeCells>
  <phoneticPr fontId="53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469" t="s">
        <v>153</v>
      </c>
      <c r="B1" s="470"/>
      <c r="C1" s="470"/>
      <c r="D1" s="470"/>
      <c r="E1" s="470"/>
      <c r="F1" s="471"/>
      <c r="G1" s="1"/>
    </row>
    <row r="2" spans="1:7" ht="16.5" customHeight="1">
      <c r="A2" s="47">
        <f ca="1">TODAY()</f>
        <v>46269</v>
      </c>
      <c r="B2" s="48"/>
      <c r="C2" s="48"/>
      <c r="D2" s="48"/>
      <c r="E2" s="48"/>
      <c r="F2" s="49"/>
      <c r="G2" s="1"/>
    </row>
    <row r="3" spans="1:7" ht="16.5" customHeight="1">
      <c r="A3" s="50" t="s">
        <v>154</v>
      </c>
      <c r="B3" s="51" t="s">
        <v>155</v>
      </c>
      <c r="C3" s="51" t="s">
        <v>156</v>
      </c>
      <c r="D3" s="51" t="s">
        <v>157</v>
      </c>
      <c r="E3" s="51" t="s">
        <v>158</v>
      </c>
      <c r="F3" s="52" t="s">
        <v>159</v>
      </c>
      <c r="G3" s="53" t="s">
        <v>160</v>
      </c>
    </row>
    <row r="4" spans="1:7" ht="16.5" customHeight="1">
      <c r="A4" s="54" t="s">
        <v>161</v>
      </c>
      <c r="B4" s="55">
        <f t="shared" ref="B4:F4" si="0">IF(B7="","",AVERAGE(B7:B12))</f>
        <v>11.5</v>
      </c>
      <c r="C4" s="55">
        <f t="shared" si="0"/>
        <v>5.3500000000000005</v>
      </c>
      <c r="D4" s="55" t="str">
        <f t="shared" si="0"/>
        <v/>
      </c>
      <c r="E4" s="55" t="str">
        <f t="shared" si="0"/>
        <v/>
      </c>
      <c r="F4" s="55" t="str">
        <f t="shared" si="0"/>
        <v/>
      </c>
      <c r="G4" s="56">
        <v>10</v>
      </c>
    </row>
    <row r="5" spans="1:7" ht="16.5" customHeight="1">
      <c r="A5" s="57" t="s">
        <v>162</v>
      </c>
      <c r="B5" s="58">
        <f t="shared" ref="B5:F5" si="1">MAX(B7:B12)</f>
        <v>12</v>
      </c>
      <c r="C5" s="58">
        <f t="shared" si="1"/>
        <v>5.7</v>
      </c>
      <c r="D5" s="58">
        <f t="shared" si="1"/>
        <v>0</v>
      </c>
      <c r="E5" s="58">
        <f t="shared" si="1"/>
        <v>0</v>
      </c>
      <c r="F5" s="59">
        <f t="shared" si="1"/>
        <v>0</v>
      </c>
      <c r="G5" s="1"/>
    </row>
    <row r="6" spans="1:7" ht="16.5" customHeight="1">
      <c r="A6" s="60" t="s">
        <v>163</v>
      </c>
      <c r="B6" s="61">
        <f t="shared" ref="B6:F6" si="2">MIN(B7:B12)</f>
        <v>11</v>
      </c>
      <c r="C6" s="61">
        <f t="shared" si="2"/>
        <v>5.2</v>
      </c>
      <c r="D6" s="61">
        <f t="shared" si="2"/>
        <v>0</v>
      </c>
      <c r="E6" s="61">
        <f t="shared" si="2"/>
        <v>0</v>
      </c>
      <c r="F6" s="62">
        <f t="shared" si="2"/>
        <v>0</v>
      </c>
      <c r="G6" s="1"/>
    </row>
    <row r="7" spans="1:7" ht="16.5" customHeight="1">
      <c r="A7" s="63"/>
      <c r="B7" s="64">
        <v>12</v>
      </c>
      <c r="C7" s="64">
        <v>5.7</v>
      </c>
      <c r="D7" s="64"/>
      <c r="E7" s="64"/>
      <c r="F7" s="65"/>
      <c r="G7" s="1"/>
    </row>
    <row r="8" spans="1:7" ht="16.5" customHeight="1">
      <c r="A8" s="66"/>
      <c r="B8" s="67">
        <v>11</v>
      </c>
      <c r="C8" s="67">
        <v>5.2</v>
      </c>
      <c r="D8" s="67"/>
      <c r="E8" s="67"/>
      <c r="F8" s="68"/>
      <c r="G8" s="1"/>
    </row>
    <row r="9" spans="1:7" ht="16.5" customHeight="1">
      <c r="A9" s="66"/>
      <c r="B9" s="67">
        <v>12</v>
      </c>
      <c r="C9" s="67">
        <v>5.4</v>
      </c>
      <c r="D9" s="67"/>
      <c r="E9" s="67"/>
      <c r="F9" s="68"/>
      <c r="G9" s="1"/>
    </row>
    <row r="10" spans="1:7" ht="16.5" customHeight="1">
      <c r="A10" s="66"/>
      <c r="B10" s="67">
        <v>12</v>
      </c>
      <c r="C10" s="67">
        <v>5.2</v>
      </c>
      <c r="D10" s="67"/>
      <c r="E10" s="67"/>
      <c r="F10" s="68"/>
      <c r="G10" s="1"/>
    </row>
    <row r="11" spans="1:7" ht="16.5" customHeight="1">
      <c r="A11" s="66"/>
      <c r="B11" s="67">
        <v>11</v>
      </c>
      <c r="C11" s="67">
        <v>5.4</v>
      </c>
      <c r="D11" s="67"/>
      <c r="E11" s="67"/>
      <c r="F11" s="68"/>
      <c r="G11" s="1"/>
    </row>
    <row r="12" spans="1:7" ht="16.5" customHeight="1">
      <c r="A12" s="69"/>
      <c r="B12" s="70">
        <v>11</v>
      </c>
      <c r="C12" s="70">
        <v>5.2</v>
      </c>
      <c r="D12" s="70"/>
      <c r="E12" s="70"/>
      <c r="F12" s="71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3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43" t="s">
        <v>167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546" t="s">
        <v>168</v>
      </c>
      <c r="T1" s="544" t="s">
        <v>169</v>
      </c>
      <c r="U1" s="421"/>
      <c r="V1" s="436"/>
      <c r="W1" s="544" t="s">
        <v>129</v>
      </c>
      <c r="X1" s="421"/>
      <c r="Y1" s="443"/>
      <c r="AE1" s="72" t="s">
        <v>170</v>
      </c>
      <c r="AF1" s="73"/>
      <c r="AG1" s="73"/>
      <c r="AH1" s="73"/>
      <c r="AI1" s="73"/>
      <c r="AJ1" s="73"/>
      <c r="AK1" s="73"/>
      <c r="AL1" s="73"/>
    </row>
    <row r="2" spans="1:44" ht="36.75" customHeight="1">
      <c r="A2" s="507"/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424"/>
      <c r="T2" s="545"/>
      <c r="U2" s="344"/>
      <c r="V2" s="431"/>
      <c r="W2" s="545"/>
      <c r="X2" s="344"/>
      <c r="Y2" s="504"/>
      <c r="AE2" s="73"/>
      <c r="AF2" s="73"/>
      <c r="AG2" s="73"/>
      <c r="AH2" s="73"/>
      <c r="AI2" s="73"/>
      <c r="AJ2" s="73"/>
      <c r="AK2" s="73"/>
      <c r="AL2" s="73"/>
    </row>
    <row r="3" spans="1:44" ht="24.75" customHeight="1">
      <c r="A3" s="74" t="s">
        <v>171</v>
      </c>
      <c r="B3" s="75"/>
      <c r="C3" s="75"/>
      <c r="D3" s="75"/>
      <c r="E3" s="75"/>
      <c r="F3" s="75"/>
      <c r="G3" s="75"/>
      <c r="H3" s="75"/>
      <c r="I3" s="76"/>
      <c r="J3" s="76"/>
      <c r="K3" s="76"/>
      <c r="L3" s="76"/>
      <c r="M3" s="77" t="s">
        <v>172</v>
      </c>
      <c r="N3" s="76"/>
      <c r="O3" s="75"/>
      <c r="P3" s="75"/>
      <c r="Q3" s="75"/>
      <c r="R3" s="75"/>
      <c r="S3" s="455"/>
      <c r="T3" s="455"/>
      <c r="U3" s="451"/>
      <c r="V3" s="452"/>
      <c r="W3" s="455"/>
      <c r="X3" s="451"/>
      <c r="Y3" s="505"/>
      <c r="Z3" s="25"/>
      <c r="AA3" s="25"/>
      <c r="AB3" s="25"/>
      <c r="AC3" s="25"/>
      <c r="AD3" s="25"/>
      <c r="AE3" s="73"/>
      <c r="AF3" s="509" t="s">
        <v>173</v>
      </c>
      <c r="AG3" s="344"/>
      <c r="AH3" s="344"/>
      <c r="AI3" s="510" t="s">
        <v>174</v>
      </c>
      <c r="AJ3" s="451"/>
      <c r="AK3" s="508" t="s">
        <v>175</v>
      </c>
      <c r="AL3" s="344"/>
    </row>
    <row r="4" spans="1:44" ht="30.75" customHeight="1">
      <c r="A4" s="79" t="s">
        <v>176</v>
      </c>
      <c r="B4" s="80"/>
      <c r="C4" s="80"/>
      <c r="D4" s="80" t="s">
        <v>177</v>
      </c>
      <c r="E4" s="80"/>
      <c r="F4" s="80"/>
      <c r="G4" s="80"/>
      <c r="H4" s="80"/>
      <c r="I4" s="472"/>
      <c r="J4" s="473"/>
      <c r="K4" s="474"/>
      <c r="L4" s="472"/>
      <c r="M4" s="473"/>
      <c r="N4" s="474"/>
      <c r="O4" s="81" t="s">
        <v>178</v>
      </c>
      <c r="P4" s="80"/>
      <c r="Q4" s="80"/>
      <c r="R4" s="80"/>
      <c r="S4" s="483">
        <v>0.83</v>
      </c>
      <c r="T4" s="412"/>
      <c r="U4" s="81"/>
      <c r="V4" s="80"/>
      <c r="W4" s="80"/>
      <c r="X4" s="80"/>
      <c r="Y4" s="82"/>
      <c r="Z4" s="25"/>
      <c r="AA4" s="25"/>
      <c r="AB4" s="25"/>
      <c r="AC4" s="25"/>
      <c r="AD4" s="25"/>
      <c r="AE4" s="73"/>
      <c r="AF4" s="344"/>
      <c r="AG4" s="344"/>
      <c r="AH4" s="344"/>
      <c r="AI4" s="511" t="s">
        <v>179</v>
      </c>
      <c r="AJ4" s="501"/>
      <c r="AK4" s="344"/>
      <c r="AL4" s="344"/>
      <c r="AM4" s="25"/>
      <c r="AN4" s="25"/>
      <c r="AO4" s="25"/>
      <c r="AP4" s="25"/>
      <c r="AQ4" s="25"/>
      <c r="AR4" s="25"/>
    </row>
    <row r="5" spans="1:44" ht="30.75" customHeight="1">
      <c r="A5" s="83" t="s">
        <v>180</v>
      </c>
      <c r="B5" s="84"/>
      <c r="C5" s="84"/>
      <c r="D5" s="84"/>
      <c r="E5" s="84" t="s">
        <v>181</v>
      </c>
      <c r="F5" s="84"/>
      <c r="G5" s="84"/>
      <c r="H5" s="84"/>
      <c r="I5" s="475"/>
      <c r="J5" s="344"/>
      <c r="K5" s="476"/>
      <c r="L5" s="475"/>
      <c r="M5" s="344"/>
      <c r="N5" s="476"/>
      <c r="O5" s="85" t="s">
        <v>182</v>
      </c>
      <c r="P5" s="84"/>
      <c r="Q5" s="84"/>
      <c r="R5" s="84"/>
      <c r="S5" s="484">
        <v>23</v>
      </c>
      <c r="T5" s="412"/>
      <c r="U5" s="85"/>
      <c r="V5" s="84"/>
      <c r="W5" s="84"/>
      <c r="X5" s="84"/>
      <c r="Y5" s="86"/>
      <c r="Z5" s="25"/>
      <c r="AA5" s="25"/>
      <c r="AB5" s="25"/>
      <c r="AC5" s="25"/>
      <c r="AD5" s="25"/>
      <c r="AE5" s="73" t="s">
        <v>101</v>
      </c>
      <c r="AF5" s="78"/>
      <c r="AG5" s="78"/>
      <c r="AH5" s="78">
        <f>100-E10-D11</f>
        <v>79.099999999999994</v>
      </c>
      <c r="AI5" s="87"/>
      <c r="AJ5" s="87"/>
      <c r="AK5" s="31"/>
      <c r="AL5" s="31"/>
      <c r="AM5" s="25"/>
      <c r="AN5" s="25"/>
      <c r="AO5" s="25"/>
      <c r="AP5" s="25"/>
      <c r="AQ5" s="25"/>
      <c r="AR5" s="25"/>
    </row>
    <row r="6" spans="1:44" ht="30.75" customHeight="1">
      <c r="A6" s="83" t="s">
        <v>183</v>
      </c>
      <c r="B6" s="84"/>
      <c r="C6" s="84"/>
      <c r="D6" s="84" t="s">
        <v>184</v>
      </c>
      <c r="E6" s="84"/>
      <c r="F6" s="84"/>
      <c r="G6" s="84"/>
      <c r="H6" s="84"/>
      <c r="I6" s="477"/>
      <c r="J6" s="478"/>
      <c r="K6" s="479"/>
      <c r="L6" s="477"/>
      <c r="M6" s="478"/>
      <c r="N6" s="479"/>
      <c r="O6" s="85" t="s">
        <v>185</v>
      </c>
      <c r="P6" s="84"/>
      <c r="Q6" s="84"/>
      <c r="R6" s="84"/>
      <c r="S6" s="484">
        <v>760</v>
      </c>
      <c r="T6" s="412"/>
      <c r="U6" s="85"/>
      <c r="V6" s="84"/>
      <c r="W6" s="84"/>
      <c r="X6" s="84"/>
      <c r="Y6" s="86"/>
      <c r="Z6" s="88" t="s">
        <v>186</v>
      </c>
      <c r="AA6" s="89">
        <v>0.70699999999999996</v>
      </c>
      <c r="AB6" s="89"/>
      <c r="AC6" s="25"/>
      <c r="AD6" s="25"/>
      <c r="AE6" s="73" t="s">
        <v>102</v>
      </c>
      <c r="AF6" s="73"/>
      <c r="AG6" s="73"/>
      <c r="AH6" s="90">
        <f>S4</f>
        <v>0.83</v>
      </c>
      <c r="AI6" s="73"/>
      <c r="AJ6" s="73"/>
      <c r="AK6" s="73"/>
      <c r="AL6" s="73"/>
      <c r="AM6" s="25"/>
      <c r="AN6" s="25"/>
      <c r="AO6" s="25"/>
      <c r="AP6" s="25"/>
      <c r="AQ6" s="25"/>
      <c r="AR6" s="25"/>
    </row>
    <row r="7" spans="1:44" ht="30.75" customHeight="1">
      <c r="A7" s="83" t="s">
        <v>187</v>
      </c>
      <c r="B7" s="84"/>
      <c r="C7" s="524">
        <f>ROUND(8.03989/100000*(S4)^2*F9*((E24+273.15)*AH12*AH9)/((C24+273.15)*V7*AH10)*(1-E13/100)^2*(E8*10)^4,3)</f>
        <v>26.332999999999998</v>
      </c>
      <c r="D7" s="412"/>
      <c r="E7" s="84"/>
      <c r="F7" s="84"/>
      <c r="G7" s="84"/>
      <c r="H7" s="84"/>
      <c r="I7" s="472"/>
      <c r="J7" s="473"/>
      <c r="K7" s="474"/>
      <c r="L7" s="472"/>
      <c r="M7" s="473"/>
      <c r="N7" s="474"/>
      <c r="O7" s="85" t="s">
        <v>188</v>
      </c>
      <c r="P7" s="84"/>
      <c r="Q7" s="84"/>
      <c r="R7" s="84"/>
      <c r="S7" s="84"/>
      <c r="T7" s="84"/>
      <c r="U7" s="84"/>
      <c r="V7" s="513">
        <f>S6</f>
        <v>760</v>
      </c>
      <c r="W7" s="412"/>
      <c r="X7" s="412"/>
      <c r="Y7" s="86"/>
      <c r="Z7" s="88" t="s">
        <v>189</v>
      </c>
      <c r="AA7" s="89">
        <v>0.5</v>
      </c>
      <c r="AB7" s="89">
        <v>0.86599999999999999</v>
      </c>
      <c r="AC7" s="25"/>
      <c r="AD7" s="25"/>
      <c r="AE7" s="73" t="s">
        <v>104</v>
      </c>
      <c r="AF7" s="73"/>
      <c r="AG7" s="73"/>
      <c r="AH7" s="73">
        <f>F9</f>
        <v>42.4</v>
      </c>
      <c r="AI7" s="73"/>
      <c r="AJ7" s="73"/>
      <c r="AK7" s="73"/>
      <c r="AL7" s="73"/>
      <c r="AM7" s="25"/>
      <c r="AN7" s="25"/>
      <c r="AO7" s="25"/>
      <c r="AP7" s="25"/>
      <c r="AQ7" s="25"/>
      <c r="AR7" s="25"/>
    </row>
    <row r="8" spans="1:44" ht="30.75" customHeight="1">
      <c r="A8" s="83" t="s">
        <v>190</v>
      </c>
      <c r="B8" s="84"/>
      <c r="C8" s="84"/>
      <c r="D8" s="84"/>
      <c r="E8" s="525">
        <v>1.083</v>
      </c>
      <c r="F8" s="412"/>
      <c r="G8" s="84"/>
      <c r="H8" s="84"/>
      <c r="I8" s="475"/>
      <c r="J8" s="344"/>
      <c r="K8" s="476"/>
      <c r="L8" s="475"/>
      <c r="M8" s="344"/>
      <c r="N8" s="476"/>
      <c r="O8" s="85" t="s">
        <v>191</v>
      </c>
      <c r="P8" s="84"/>
      <c r="Q8" s="84"/>
      <c r="R8" s="84"/>
      <c r="S8" s="84"/>
      <c r="T8" s="91">
        <v>1.25</v>
      </c>
      <c r="U8" s="84"/>
      <c r="V8" s="92" t="s">
        <v>192</v>
      </c>
      <c r="W8" s="84"/>
      <c r="X8" s="84"/>
      <c r="Y8" s="93" t="s">
        <v>164</v>
      </c>
      <c r="Z8" s="25"/>
      <c r="AA8" s="25"/>
      <c r="AB8" s="25"/>
      <c r="AC8" s="25"/>
      <c r="AD8" s="25"/>
      <c r="AE8" s="73" t="s">
        <v>106</v>
      </c>
      <c r="AF8" s="73"/>
      <c r="AG8" s="73"/>
      <c r="AH8" s="73"/>
      <c r="AI8" s="73"/>
      <c r="AJ8" s="73"/>
      <c r="AK8" s="73"/>
      <c r="AL8" s="73"/>
      <c r="AM8" s="25"/>
      <c r="AN8" s="25"/>
      <c r="AO8" s="25"/>
      <c r="AP8" s="25"/>
      <c r="AQ8" s="25"/>
      <c r="AR8" s="25"/>
    </row>
    <row r="9" spans="1:44" ht="30.75" customHeight="1">
      <c r="A9" s="83" t="s">
        <v>193</v>
      </c>
      <c r="B9" s="84"/>
      <c r="C9" s="84"/>
      <c r="D9" s="84"/>
      <c r="E9" s="84"/>
      <c r="F9" s="526">
        <v>42.4</v>
      </c>
      <c r="G9" s="412"/>
      <c r="H9" s="84"/>
      <c r="I9" s="477"/>
      <c r="J9" s="478"/>
      <c r="K9" s="479"/>
      <c r="L9" s="477"/>
      <c r="M9" s="478"/>
      <c r="N9" s="479"/>
      <c r="O9" s="480" t="s">
        <v>194</v>
      </c>
      <c r="P9" s="412"/>
      <c r="Q9" s="412"/>
      <c r="R9" s="412"/>
      <c r="S9" s="412"/>
      <c r="T9" s="481">
        <v>1</v>
      </c>
      <c r="U9" s="410"/>
      <c r="V9" s="92" t="s">
        <v>195</v>
      </c>
      <c r="W9" s="84"/>
      <c r="X9" s="84"/>
      <c r="Y9" s="93">
        <v>70</v>
      </c>
      <c r="Z9" s="25"/>
      <c r="AA9" s="25"/>
      <c r="AB9" s="25"/>
      <c r="AC9" s="25"/>
      <c r="AD9" s="25"/>
      <c r="AE9" s="73" t="s">
        <v>107</v>
      </c>
      <c r="AF9" s="73"/>
      <c r="AG9" s="73"/>
      <c r="AH9" s="94">
        <f>(0.32*E10)+(0.44*D11)+(0.28*AH5)</f>
        <v>28.835999999999999</v>
      </c>
      <c r="AI9" s="73"/>
      <c r="AJ9" s="73"/>
      <c r="AK9" s="73"/>
      <c r="AL9" s="73"/>
      <c r="AM9" s="25"/>
      <c r="AN9" s="25"/>
      <c r="AO9" s="25"/>
      <c r="AP9" s="25"/>
      <c r="AQ9" s="25"/>
      <c r="AR9" s="25"/>
    </row>
    <row r="10" spans="1:44" ht="27" customHeight="1">
      <c r="A10" s="83" t="s">
        <v>196</v>
      </c>
      <c r="B10" s="84"/>
      <c r="C10" s="84"/>
      <c r="D10" s="84"/>
      <c r="E10" s="484">
        <v>20.9</v>
      </c>
      <c r="F10" s="412"/>
      <c r="G10" s="84"/>
      <c r="H10" s="95"/>
      <c r="I10" s="96" t="s">
        <v>197</v>
      </c>
      <c r="J10" s="80"/>
      <c r="K10" s="494">
        <f>CHOOSE(AA14,ROUND(측정점!I6,3)*100,ROUND(측정점!I8,3)*100,ROUND(측정점!I10,3)*100,ROUND(측정점!I12,3)*100,ROUND(측정점!I14,3)*100)</f>
        <v>31.3</v>
      </c>
      <c r="L10" s="495"/>
      <c r="M10" s="495"/>
      <c r="N10" s="97" t="s">
        <v>198</v>
      </c>
      <c r="O10" s="491" t="s">
        <v>199</v>
      </c>
      <c r="P10" s="412"/>
      <c r="Q10" s="412"/>
      <c r="R10" s="412"/>
      <c r="S10" s="412"/>
      <c r="T10" s="412"/>
      <c r="U10" s="410"/>
      <c r="V10" s="92" t="s">
        <v>200</v>
      </c>
      <c r="W10" s="84"/>
      <c r="X10" s="84"/>
      <c r="Y10" s="93">
        <v>4</v>
      </c>
      <c r="Z10" s="25"/>
      <c r="AA10" s="25"/>
      <c r="AB10" s="25"/>
      <c r="AC10" s="25"/>
      <c r="AD10" s="25"/>
      <c r="AE10" s="73" t="s">
        <v>166</v>
      </c>
      <c r="AF10" s="73"/>
      <c r="AG10" s="73"/>
      <c r="AH10" s="98">
        <f>AH9*(1-E13/100)+E13/100*18</f>
        <v>28.7222587581197</v>
      </c>
      <c r="AI10" s="73"/>
      <c r="AJ10" s="73"/>
      <c r="AK10" s="73"/>
      <c r="AL10" s="73"/>
      <c r="AM10" s="25"/>
      <c r="AN10" s="25"/>
      <c r="AO10" s="25"/>
      <c r="AP10" s="25"/>
      <c r="AQ10" s="25"/>
      <c r="AR10" s="25"/>
    </row>
    <row r="11" spans="1:44" ht="27" customHeight="1">
      <c r="A11" s="83" t="s">
        <v>201</v>
      </c>
      <c r="B11" s="84"/>
      <c r="C11" s="84"/>
      <c r="D11" s="484">
        <v>0</v>
      </c>
      <c r="E11" s="412"/>
      <c r="F11" s="84"/>
      <c r="G11" s="84"/>
      <c r="H11" s="95"/>
      <c r="I11" s="99" t="s">
        <v>202</v>
      </c>
      <c r="J11" s="84"/>
      <c r="K11" s="496">
        <f>CHOOSE(AA14,"",ROUND(측정점!L8,3)*100,ROUND(측정점!L10,3)*100,ROUND(측정점!L12,3)*100,ROUND(측정점!L14,3)*100)</f>
        <v>8.4</v>
      </c>
      <c r="L11" s="412"/>
      <c r="M11" s="412"/>
      <c r="N11" s="101" t="s">
        <v>198</v>
      </c>
      <c r="O11" s="492" t="s">
        <v>203</v>
      </c>
      <c r="P11" s="412"/>
      <c r="Q11" s="410"/>
      <c r="R11" s="493" t="s">
        <v>204</v>
      </c>
      <c r="S11" s="461"/>
      <c r="T11" s="461"/>
      <c r="U11" s="407"/>
      <c r="V11" s="102" t="s">
        <v>205</v>
      </c>
      <c r="W11" s="80"/>
      <c r="X11" s="80"/>
      <c r="Y11" s="103" t="s">
        <v>206</v>
      </c>
      <c r="Z11" s="25"/>
      <c r="AA11" s="25"/>
      <c r="AB11" s="25"/>
      <c r="AC11" s="25"/>
      <c r="AD11" s="25"/>
      <c r="AE11" s="73" t="s">
        <v>115</v>
      </c>
      <c r="AF11" s="73"/>
      <c r="AG11" s="73"/>
      <c r="AH11" s="73"/>
      <c r="AI11" s="73"/>
      <c r="AJ11" s="73"/>
      <c r="AK11" s="73"/>
      <c r="AL11" s="73"/>
      <c r="AM11" s="25"/>
      <c r="AN11" s="25"/>
      <c r="AO11" s="25"/>
      <c r="AP11" s="25"/>
      <c r="AQ11" s="25"/>
      <c r="AR11" s="25"/>
    </row>
    <row r="12" spans="1:44" ht="27" customHeight="1">
      <c r="A12" s="104" t="s">
        <v>207</v>
      </c>
      <c r="B12" s="105"/>
      <c r="C12" s="105"/>
      <c r="D12" s="105"/>
      <c r="E12" s="105"/>
      <c r="F12" s="549">
        <f>계산식!R34</f>
        <v>98.187978413528313</v>
      </c>
      <c r="G12" s="412"/>
      <c r="H12" s="106"/>
      <c r="I12" s="99" t="s">
        <v>208</v>
      </c>
      <c r="J12" s="84"/>
      <c r="K12" s="496" t="str">
        <f>CHOOSE(AA14,"","",ROUND(측정점!O10,3)*100,ROUND(측정점!O12,3)*100,ROUND(측정점!O14,3)*100)</f>
        <v/>
      </c>
      <c r="L12" s="412"/>
      <c r="M12" s="412"/>
      <c r="N12" s="101" t="s">
        <v>198</v>
      </c>
      <c r="O12" s="492" t="s">
        <v>209</v>
      </c>
      <c r="P12" s="412"/>
      <c r="Q12" s="410"/>
      <c r="R12" s="526" t="s">
        <v>210</v>
      </c>
      <c r="S12" s="412"/>
      <c r="T12" s="412"/>
      <c r="U12" s="410"/>
      <c r="V12" s="491" t="s">
        <v>211</v>
      </c>
      <c r="W12" s="412"/>
      <c r="X12" s="412"/>
      <c r="Y12" s="417"/>
      <c r="Z12" s="25"/>
      <c r="AA12" s="25"/>
      <c r="AB12" s="25"/>
      <c r="AC12" s="25"/>
      <c r="AD12" s="25"/>
      <c r="AE12" s="73" t="s">
        <v>116</v>
      </c>
      <c r="AF12" s="73"/>
      <c r="AG12" s="73"/>
      <c r="AH12" s="107">
        <f>ROUND((S6+(I24/13.6)),2)</f>
        <v>760.08</v>
      </c>
      <c r="AI12" s="108"/>
      <c r="AJ12" s="109"/>
      <c r="AK12" s="512"/>
      <c r="AL12" s="344"/>
      <c r="AM12" s="344"/>
      <c r="AN12" s="344"/>
      <c r="AO12" s="344"/>
      <c r="AP12" s="344"/>
      <c r="AQ12" s="344"/>
      <c r="AR12" s="504"/>
    </row>
    <row r="13" spans="1:44" ht="27" customHeight="1">
      <c r="A13" s="83" t="s">
        <v>212</v>
      </c>
      <c r="B13" s="84"/>
      <c r="C13" s="84"/>
      <c r="D13" s="84"/>
      <c r="E13" s="548">
        <f>계산식!R1</f>
        <v>1.0496607777805389</v>
      </c>
      <c r="F13" s="412"/>
      <c r="G13" s="84"/>
      <c r="H13" s="84"/>
      <c r="I13" s="99" t="s">
        <v>213</v>
      </c>
      <c r="J13" s="84"/>
      <c r="K13" s="496" t="str">
        <f>CHOOSE(AA14,"","","",ROUND(측정점!R12,3)*100,ROUND(측정점!R14,3)*100)</f>
        <v/>
      </c>
      <c r="L13" s="412"/>
      <c r="M13" s="412"/>
      <c r="N13" s="101" t="s">
        <v>198</v>
      </c>
      <c r="O13" s="99" t="s">
        <v>214</v>
      </c>
      <c r="P13" s="84"/>
      <c r="Q13" s="84"/>
      <c r="R13" s="496" t="s">
        <v>215</v>
      </c>
      <c r="S13" s="412"/>
      <c r="T13" s="412"/>
      <c r="U13" s="410"/>
      <c r="V13" s="92" t="s">
        <v>144</v>
      </c>
      <c r="W13" s="84"/>
      <c r="X13" s="100"/>
      <c r="Y13" s="93">
        <v>2569</v>
      </c>
      <c r="Z13" s="1"/>
      <c r="AA13" s="1"/>
      <c r="AB13" s="1"/>
      <c r="AC13" s="1"/>
      <c r="AD13" s="1"/>
      <c r="AE13" s="73" t="s">
        <v>216</v>
      </c>
      <c r="AF13" s="73"/>
      <c r="AG13" s="73"/>
      <c r="AH13" s="73"/>
      <c r="AI13" s="73"/>
      <c r="AJ13" s="73"/>
      <c r="AK13" s="73"/>
      <c r="AL13" s="73"/>
      <c r="AM13" s="25"/>
      <c r="AN13" s="25"/>
      <c r="AO13" s="25"/>
      <c r="AP13" s="25"/>
      <c r="AQ13" s="25"/>
      <c r="AR13" s="25"/>
    </row>
    <row r="14" spans="1:44" ht="27" customHeight="1">
      <c r="A14" s="542" t="s">
        <v>217</v>
      </c>
      <c r="B14" s="414"/>
      <c r="C14" s="414"/>
      <c r="D14" s="110"/>
      <c r="E14" s="111"/>
      <c r="F14" s="111"/>
      <c r="G14" s="77"/>
      <c r="H14" s="77"/>
      <c r="I14" s="96" t="s">
        <v>218</v>
      </c>
      <c r="J14" s="80"/>
      <c r="K14" s="485" t="str">
        <f>CHOOSE(AA14,"","","","",ROUND(측정점!U14,3)*100)</f>
        <v/>
      </c>
      <c r="L14" s="414"/>
      <c r="M14" s="414"/>
      <c r="N14" s="112" t="s">
        <v>198</v>
      </c>
      <c r="O14" s="96" t="s">
        <v>219</v>
      </c>
      <c r="P14" s="80"/>
      <c r="Q14" s="80"/>
      <c r="R14" s="80"/>
      <c r="S14" s="80"/>
      <c r="T14" s="80"/>
      <c r="U14" s="113"/>
      <c r="V14" s="102" t="s">
        <v>145</v>
      </c>
      <c r="W14" s="80"/>
      <c r="X14" s="114"/>
      <c r="Y14" s="115">
        <f>Y13+O23</f>
        <v>2978</v>
      </c>
      <c r="Z14" s="1" t="s">
        <v>117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73" t="s">
        <v>220</v>
      </c>
      <c r="AF14" s="73"/>
      <c r="AG14" s="73"/>
      <c r="AH14" s="73"/>
      <c r="AI14" s="73"/>
      <c r="AJ14" s="73"/>
      <c r="AK14" s="73"/>
      <c r="AL14" s="73"/>
      <c r="AM14" s="25"/>
      <c r="AN14" s="25"/>
      <c r="AO14" s="25"/>
      <c r="AP14" s="25"/>
      <c r="AQ14" s="25"/>
      <c r="AR14" s="25"/>
    </row>
    <row r="15" spans="1:44" ht="27.75" customHeight="1">
      <c r="A15" s="547" t="s">
        <v>221</v>
      </c>
      <c r="B15" s="421"/>
      <c r="C15" s="421"/>
      <c r="D15" s="421"/>
      <c r="E15" s="421"/>
      <c r="F15" s="421"/>
      <c r="G15" s="421"/>
      <c r="H15" s="421"/>
      <c r="I15" s="421"/>
      <c r="J15" s="421"/>
      <c r="K15" s="421"/>
      <c r="L15" s="421"/>
      <c r="M15" s="421"/>
      <c r="N15" s="421"/>
      <c r="O15" s="421"/>
      <c r="P15" s="421"/>
      <c r="Q15" s="421"/>
      <c r="R15" s="421"/>
      <c r="S15" s="421"/>
      <c r="T15" s="421"/>
      <c r="U15" s="421"/>
      <c r="V15" s="421"/>
      <c r="W15" s="421"/>
      <c r="X15" s="421"/>
      <c r="Y15" s="443"/>
      <c r="Z15" s="1" t="s">
        <v>222</v>
      </c>
      <c r="AA15" s="1"/>
      <c r="AB15" s="1"/>
      <c r="AC15" s="1"/>
      <c r="AD15" s="1"/>
      <c r="AE15" s="508" t="s">
        <v>223</v>
      </c>
      <c r="AF15" s="344"/>
      <c r="AG15" s="73"/>
      <c r="AH15" s="73"/>
      <c r="AI15" s="73"/>
      <c r="AJ15" s="73"/>
      <c r="AK15" s="73"/>
      <c r="AL15" s="73"/>
      <c r="AM15" s="1"/>
      <c r="AN15" s="1"/>
      <c r="AO15" s="1"/>
      <c r="AP15" s="1"/>
      <c r="AQ15" s="1"/>
      <c r="AR15" s="1"/>
    </row>
    <row r="16" spans="1:44" ht="35.25" customHeight="1">
      <c r="A16" s="540" t="s">
        <v>224</v>
      </c>
      <c r="B16" s="431"/>
      <c r="C16" s="517" t="s">
        <v>225</v>
      </c>
      <c r="D16" s="431"/>
      <c r="E16" s="527" t="s">
        <v>226</v>
      </c>
      <c r="F16" s="451"/>
      <c r="G16" s="451"/>
      <c r="H16" s="452"/>
      <c r="I16" s="517" t="s">
        <v>227</v>
      </c>
      <c r="J16" s="431"/>
      <c r="K16" s="517" t="s">
        <v>228</v>
      </c>
      <c r="L16" s="431"/>
      <c r="M16" s="519" t="s">
        <v>229</v>
      </c>
      <c r="N16" s="431"/>
      <c r="O16" s="517" t="s">
        <v>230</v>
      </c>
      <c r="P16" s="431"/>
      <c r="Q16" s="517" t="s">
        <v>231</v>
      </c>
      <c r="R16" s="431"/>
      <c r="S16" s="517" t="s">
        <v>232</v>
      </c>
      <c r="T16" s="431"/>
      <c r="U16" s="500" t="s">
        <v>233</v>
      </c>
      <c r="V16" s="501"/>
      <c r="W16" s="502"/>
      <c r="X16" s="503"/>
      <c r="Y16" s="504"/>
      <c r="Z16" s="506" t="s">
        <v>234</v>
      </c>
      <c r="AA16" s="344"/>
      <c r="AB16" s="344"/>
      <c r="AC16" s="1"/>
      <c r="AD16" s="1"/>
      <c r="AE16" s="344"/>
      <c r="AF16" s="344"/>
      <c r="AG16" s="73"/>
      <c r="AH16" s="73"/>
      <c r="AI16" s="73"/>
      <c r="AJ16" s="73"/>
      <c r="AK16" s="73"/>
      <c r="AL16" s="73"/>
      <c r="AM16" s="1"/>
      <c r="AN16" s="1"/>
      <c r="AO16" s="1"/>
      <c r="AP16" s="1"/>
      <c r="AQ16" s="1"/>
      <c r="AR16" s="1"/>
    </row>
    <row r="17" spans="1:44" ht="19.5" customHeight="1">
      <c r="A17" s="541"/>
      <c r="B17" s="452"/>
      <c r="C17" s="455"/>
      <c r="D17" s="452"/>
      <c r="E17" s="489" t="s">
        <v>95</v>
      </c>
      <c r="F17" s="410"/>
      <c r="G17" s="489" t="s">
        <v>96</v>
      </c>
      <c r="H17" s="410"/>
      <c r="I17" s="455"/>
      <c r="J17" s="452"/>
      <c r="K17" s="455"/>
      <c r="L17" s="452"/>
      <c r="M17" s="455"/>
      <c r="N17" s="452"/>
      <c r="O17" s="455"/>
      <c r="P17" s="452"/>
      <c r="Q17" s="455"/>
      <c r="R17" s="452"/>
      <c r="S17" s="455"/>
      <c r="T17" s="452"/>
      <c r="U17" s="455"/>
      <c r="V17" s="451"/>
      <c r="W17" s="452"/>
      <c r="X17" s="455"/>
      <c r="Y17" s="505"/>
      <c r="Z17" s="507"/>
      <c r="AA17" s="344"/>
      <c r="AB17" s="344"/>
      <c r="AC17" s="1"/>
      <c r="AD17" s="1"/>
      <c r="AE17" s="73" t="s">
        <v>235</v>
      </c>
      <c r="AF17" s="73"/>
      <c r="AG17" s="116"/>
      <c r="AH17" s="116"/>
      <c r="AI17" s="116"/>
      <c r="AJ17" s="116"/>
      <c r="AK17" s="116"/>
      <c r="AL17" s="116"/>
      <c r="AM17" s="1"/>
      <c r="AN17" s="1"/>
      <c r="AO17" s="1"/>
      <c r="AP17" s="1"/>
      <c r="AQ17" s="1"/>
      <c r="AR17" s="1"/>
    </row>
    <row r="18" spans="1:44" ht="22.5" customHeight="1">
      <c r="A18" s="536" t="s">
        <v>236</v>
      </c>
      <c r="B18" s="410"/>
      <c r="C18" s="487">
        <v>79</v>
      </c>
      <c r="D18" s="410"/>
      <c r="E18" s="487">
        <v>18</v>
      </c>
      <c r="F18" s="410"/>
      <c r="G18" s="487">
        <v>18</v>
      </c>
      <c r="H18" s="410"/>
      <c r="I18" s="487">
        <v>1</v>
      </c>
      <c r="J18" s="410"/>
      <c r="K18" s="487">
        <v>0.4</v>
      </c>
      <c r="L18" s="410"/>
      <c r="M18" s="488">
        <f>AE23*K18</f>
        <v>10.5036</v>
      </c>
      <c r="N18" s="410"/>
      <c r="O18" s="487">
        <v>203</v>
      </c>
      <c r="P18" s="410"/>
      <c r="Q18" s="487">
        <v>20</v>
      </c>
      <c r="R18" s="410"/>
      <c r="S18" s="487">
        <v>18</v>
      </c>
      <c r="T18" s="410"/>
      <c r="U18" s="486">
        <v>2.8</v>
      </c>
      <c r="V18" s="412"/>
      <c r="W18" s="410"/>
      <c r="X18" s="486"/>
      <c r="Y18" s="417"/>
      <c r="Z18" s="507"/>
      <c r="AA18" s="344"/>
      <c r="AB18" s="344"/>
      <c r="AC18" s="1"/>
      <c r="AD18" s="1"/>
      <c r="AE18" s="116"/>
      <c r="AF18" s="116"/>
      <c r="AG18" s="116"/>
      <c r="AH18" s="116"/>
      <c r="AI18" s="116"/>
      <c r="AJ18" s="116"/>
      <c r="AK18" s="116"/>
      <c r="AL18" s="116"/>
      <c r="AM18" s="1"/>
      <c r="AN18" s="1"/>
      <c r="AO18" s="1"/>
      <c r="AP18" s="1"/>
      <c r="AQ18" s="1"/>
      <c r="AR18" s="1"/>
    </row>
    <row r="19" spans="1:44" ht="22.5" customHeight="1">
      <c r="A19" s="536" t="s">
        <v>237</v>
      </c>
      <c r="B19" s="410"/>
      <c r="C19" s="489">
        <v>77</v>
      </c>
      <c r="D19" s="410"/>
      <c r="E19" s="489">
        <v>18</v>
      </c>
      <c r="F19" s="410"/>
      <c r="G19" s="489">
        <v>18</v>
      </c>
      <c r="H19" s="410"/>
      <c r="I19" s="489">
        <v>1.2</v>
      </c>
      <c r="J19" s="410"/>
      <c r="K19" s="489">
        <v>0.4</v>
      </c>
      <c r="L19" s="410"/>
      <c r="M19" s="490">
        <f>AF23*K19</f>
        <v>10.563600000000001</v>
      </c>
      <c r="N19" s="410"/>
      <c r="O19" s="489">
        <v>206</v>
      </c>
      <c r="P19" s="410"/>
      <c r="Q19" s="489">
        <v>20</v>
      </c>
      <c r="R19" s="410"/>
      <c r="S19" s="489">
        <v>18</v>
      </c>
      <c r="T19" s="410"/>
      <c r="U19" s="482">
        <v>2.8</v>
      </c>
      <c r="V19" s="412"/>
      <c r="W19" s="410"/>
      <c r="X19" s="482"/>
      <c r="Y19" s="417"/>
      <c r="Z19" s="507"/>
      <c r="AA19" s="344"/>
      <c r="AB19" s="344"/>
      <c r="AC19" s="1"/>
      <c r="AD19" s="1"/>
      <c r="AE19" s="117" t="s">
        <v>238</v>
      </c>
      <c r="AF19" s="117"/>
      <c r="AG19" s="117"/>
      <c r="AH19" s="116"/>
      <c r="AI19" s="116"/>
      <c r="AJ19" s="116"/>
      <c r="AK19" s="116"/>
      <c r="AL19" s="116"/>
      <c r="AM19" s="1"/>
      <c r="AN19" s="1"/>
      <c r="AO19" s="1"/>
      <c r="AP19" s="1"/>
      <c r="AQ19" s="1"/>
      <c r="AR19" s="1"/>
    </row>
    <row r="20" spans="1:44" ht="22.5" customHeight="1">
      <c r="A20" s="536" t="s">
        <v>239</v>
      </c>
      <c r="B20" s="410"/>
      <c r="C20" s="489"/>
      <c r="D20" s="410"/>
      <c r="E20" s="489"/>
      <c r="F20" s="410"/>
      <c r="G20" s="489"/>
      <c r="H20" s="410"/>
      <c r="I20" s="489"/>
      <c r="J20" s="410"/>
      <c r="K20" s="489"/>
      <c r="L20" s="410"/>
      <c r="M20" s="490">
        <f>AG23*K20</f>
        <v>0</v>
      </c>
      <c r="N20" s="410"/>
      <c r="O20" s="489"/>
      <c r="P20" s="410"/>
      <c r="Q20" s="489"/>
      <c r="R20" s="410"/>
      <c r="S20" s="489"/>
      <c r="T20" s="410"/>
      <c r="U20" s="482"/>
      <c r="V20" s="412"/>
      <c r="W20" s="410"/>
      <c r="X20" s="482"/>
      <c r="Y20" s="410"/>
      <c r="Z20" s="26">
        <v>3.5</v>
      </c>
      <c r="AA20" s="26">
        <f>(Z20*25.4)</f>
        <v>88.899999999999991</v>
      </c>
      <c r="AB20" s="1"/>
      <c r="AC20" s="1"/>
      <c r="AD20" s="1"/>
      <c r="AE20" s="117" t="s">
        <v>240</v>
      </c>
      <c r="AF20" s="117"/>
      <c r="AG20" s="117"/>
      <c r="AH20" s="116"/>
      <c r="AI20" s="116"/>
      <c r="AJ20" s="116"/>
      <c r="AK20" s="116"/>
      <c r="AL20" s="116"/>
      <c r="AM20" s="1"/>
      <c r="AN20" s="1"/>
      <c r="AO20" s="1"/>
      <c r="AP20" s="1"/>
      <c r="AQ20" s="1"/>
      <c r="AR20" s="1"/>
    </row>
    <row r="21" spans="1:44" ht="22.5" customHeight="1">
      <c r="A21" s="536" t="s">
        <v>241</v>
      </c>
      <c r="B21" s="410"/>
      <c r="C21" s="489"/>
      <c r="D21" s="410"/>
      <c r="E21" s="489"/>
      <c r="F21" s="410"/>
      <c r="G21" s="489"/>
      <c r="H21" s="410"/>
      <c r="I21" s="489"/>
      <c r="J21" s="410"/>
      <c r="K21" s="489"/>
      <c r="L21" s="410"/>
      <c r="M21" s="490">
        <f>AH23*K21</f>
        <v>0</v>
      </c>
      <c r="N21" s="410"/>
      <c r="O21" s="489"/>
      <c r="P21" s="410"/>
      <c r="Q21" s="489"/>
      <c r="R21" s="410"/>
      <c r="S21" s="489"/>
      <c r="T21" s="410"/>
      <c r="U21" s="482"/>
      <c r="V21" s="412"/>
      <c r="W21" s="410"/>
      <c r="X21" s="482"/>
      <c r="Y21" s="410"/>
      <c r="Z21" s="26" t="s">
        <v>242</v>
      </c>
      <c r="AA21" s="26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36" t="s">
        <v>243</v>
      </c>
      <c r="B22" s="410"/>
      <c r="C22" s="489"/>
      <c r="D22" s="410"/>
      <c r="E22" s="489"/>
      <c r="F22" s="410"/>
      <c r="G22" s="489"/>
      <c r="H22" s="410"/>
      <c r="I22" s="489"/>
      <c r="J22" s="410"/>
      <c r="K22" s="489"/>
      <c r="L22" s="410"/>
      <c r="M22" s="490">
        <f>AI23*K22</f>
        <v>0</v>
      </c>
      <c r="N22" s="410"/>
      <c r="O22" s="489"/>
      <c r="P22" s="410"/>
      <c r="Q22" s="489"/>
      <c r="R22" s="410"/>
      <c r="S22" s="489"/>
      <c r="T22" s="410"/>
      <c r="U22" s="482"/>
      <c r="V22" s="412"/>
      <c r="W22" s="410"/>
      <c r="X22" s="482"/>
      <c r="Y22" s="417"/>
      <c r="Z22" s="1"/>
      <c r="AA22" s="1"/>
      <c r="AB22" s="1"/>
      <c r="AC22" s="8"/>
      <c r="AD22" s="118"/>
      <c r="AE22" s="119" t="s">
        <v>244</v>
      </c>
      <c r="AF22" s="120" t="s">
        <v>245</v>
      </c>
      <c r="AG22" s="120" t="s">
        <v>246</v>
      </c>
      <c r="AH22" s="120" t="s">
        <v>247</v>
      </c>
      <c r="AI22" s="120" t="s">
        <v>248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36" t="s">
        <v>103</v>
      </c>
      <c r="B23" s="410"/>
      <c r="C23" s="518"/>
      <c r="D23" s="410"/>
      <c r="E23" s="488">
        <f>AVERAGE(E18:F22)</f>
        <v>18</v>
      </c>
      <c r="F23" s="410"/>
      <c r="G23" s="488">
        <f>AVERAGE(G18:H22)</f>
        <v>18</v>
      </c>
      <c r="H23" s="410"/>
      <c r="I23" s="518"/>
      <c r="J23" s="410"/>
      <c r="K23" s="518"/>
      <c r="L23" s="410"/>
      <c r="M23" s="488"/>
      <c r="N23" s="410"/>
      <c r="O23" s="518">
        <f>SUM(O18:P22)</f>
        <v>409</v>
      </c>
      <c r="P23" s="410"/>
      <c r="Q23" s="518">
        <f>SUM(Q18:R22)</f>
        <v>40</v>
      </c>
      <c r="R23" s="410"/>
      <c r="S23" s="518"/>
      <c r="T23" s="410"/>
      <c r="U23" s="499"/>
      <c r="V23" s="412"/>
      <c r="W23" s="410"/>
      <c r="X23" s="482"/>
      <c r="Y23" s="417"/>
      <c r="Z23" s="1"/>
      <c r="AA23" s="1"/>
      <c r="AB23" s="1"/>
      <c r="AC23" s="1"/>
      <c r="AD23" s="121" t="s">
        <v>249</v>
      </c>
      <c r="AE23" s="122">
        <f>ROUND(8.03989/100000*(S4)^2*F9*(((E18+G18)/2+273.15)*AH12*AH9)/((C18+273.15)*V7*AH10)*(1-E13/100)^2*(E8*10)^4,3)</f>
        <v>26.259</v>
      </c>
      <c r="AF23" s="123">
        <f>ROUND(8.03989/100000*(S4)^2*F9*(((E19+G19)/2+273.15)*AH12*AH9)/((C19+273.15)*V7*AH10)*(1-E13/100)^2*(E8*10)^4,3)</f>
        <v>26.408999999999999</v>
      </c>
      <c r="AG23" s="123">
        <f>ROUND(8.03989/100000*(S4)^2*F9*(((E20+G20)/2+273.15)*AH12*AH9)/((C20+273.15)*V7*AH10)*(1-E13/100)^2*(E8*10)^4,3)</f>
        <v>31.76</v>
      </c>
      <c r="AH23" s="123">
        <f>ROUND(8.03989/100000*(S4)^2*F9*(((E21+G21)/2+273.15)*AH12*AH9)/((C21+273.15)*V7*AH10)*(1-E13/100)^2*(E8*10)^4,3)</f>
        <v>31.76</v>
      </c>
      <c r="AI23" s="123">
        <f>ROUND(8.03989/100000*(S4)^2*F9*(((E22+G22)/2+273.15)*AH12*AH9)/((C22+273.15)*V7*AH10)*(1-E13/100)^2*(E8*10)^4,3)</f>
        <v>31.76</v>
      </c>
      <c r="AJ23" s="124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33" t="s">
        <v>105</v>
      </c>
      <c r="B24" s="402"/>
      <c r="C24" s="528">
        <f>AVERAGE(C18:D22)</f>
        <v>78</v>
      </c>
      <c r="D24" s="402"/>
      <c r="E24" s="537">
        <f>AVERAGE(E23:H23)</f>
        <v>18</v>
      </c>
      <c r="F24" s="414"/>
      <c r="G24" s="414"/>
      <c r="H24" s="402"/>
      <c r="I24" s="528">
        <f>AVERAGE(I18:J22)</f>
        <v>1.1000000000000001</v>
      </c>
      <c r="J24" s="402"/>
      <c r="K24" s="528">
        <f>AVERAGE(K18:L22)</f>
        <v>0.4</v>
      </c>
      <c r="L24" s="402"/>
      <c r="M24" s="537">
        <f>(SUM(M18:N22))/AA14</f>
        <v>10.5336</v>
      </c>
      <c r="N24" s="402"/>
      <c r="O24" s="528"/>
      <c r="P24" s="402"/>
      <c r="Q24" s="528"/>
      <c r="R24" s="402"/>
      <c r="S24" s="528">
        <f>AVERAGE(S18:T22)</f>
        <v>18</v>
      </c>
      <c r="T24" s="402"/>
      <c r="U24" s="497"/>
      <c r="V24" s="414"/>
      <c r="W24" s="402"/>
      <c r="X24" s="498"/>
      <c r="Y24" s="442"/>
      <c r="Z24" s="1"/>
      <c r="AA24" s="1"/>
      <c r="AB24" s="1"/>
      <c r="AC24" s="1"/>
      <c r="AD24" s="1"/>
      <c r="AE24" s="125"/>
      <c r="AF24" s="1"/>
      <c r="AG24" s="1"/>
      <c r="AH24" s="1"/>
      <c r="AI24" s="124"/>
      <c r="AJ24" s="124"/>
      <c r="AK24" s="124"/>
      <c r="AL24" s="124"/>
      <c r="AM24" s="1"/>
      <c r="AN24" s="1"/>
      <c r="AO24" s="1"/>
      <c r="AP24" s="1"/>
      <c r="AQ24" s="1"/>
      <c r="AR24" s="1"/>
    </row>
    <row r="25" spans="1:44" ht="24.75" customHeight="1">
      <c r="A25" s="126" t="s">
        <v>250</v>
      </c>
      <c r="B25" s="127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8"/>
      <c r="AE25" s="515" t="s">
        <v>251</v>
      </c>
      <c r="AF25" s="514" t="s">
        <v>252</v>
      </c>
      <c r="AG25" s="471"/>
      <c r="AH25" s="1"/>
      <c r="AI25" s="124"/>
      <c r="AJ25" s="124"/>
      <c r="AK25" s="1"/>
      <c r="AL25" s="1"/>
    </row>
    <row r="26" spans="1:44" ht="39.75" customHeight="1">
      <c r="A26" s="534" t="s">
        <v>111</v>
      </c>
      <c r="B26" s="451"/>
      <c r="C26" s="451"/>
      <c r="D26" s="452"/>
      <c r="E26" s="522" t="s">
        <v>69</v>
      </c>
      <c r="F26" s="451"/>
      <c r="G26" s="451"/>
      <c r="H26" s="452"/>
      <c r="I26" s="522" t="s">
        <v>72</v>
      </c>
      <c r="J26" s="452"/>
      <c r="K26" s="522" t="s">
        <v>74</v>
      </c>
      <c r="L26" s="452"/>
      <c r="M26" s="523" t="s">
        <v>253</v>
      </c>
      <c r="N26" s="451"/>
      <c r="O26" s="451"/>
      <c r="P26" s="452"/>
      <c r="Q26" s="522" t="s">
        <v>254</v>
      </c>
      <c r="R26" s="451"/>
      <c r="S26" s="451"/>
      <c r="T26" s="452"/>
      <c r="U26" s="539" t="s">
        <v>255</v>
      </c>
      <c r="V26" s="412"/>
      <c r="W26" s="412"/>
      <c r="X26" s="412"/>
      <c r="Y26" s="417"/>
      <c r="AD26" s="129"/>
      <c r="AE26" s="516"/>
      <c r="AF26" s="130" t="s">
        <v>256</v>
      </c>
      <c r="AG26" s="131" t="s">
        <v>257</v>
      </c>
      <c r="AH26" s="1"/>
      <c r="AI26" s="124"/>
      <c r="AJ26" s="124"/>
      <c r="AK26" s="132"/>
      <c r="AL26" s="1"/>
    </row>
    <row r="27" spans="1:44" ht="25.5" customHeight="1">
      <c r="A27" s="533">
        <v>1</v>
      </c>
      <c r="B27" s="414"/>
      <c r="C27" s="414"/>
      <c r="D27" s="402"/>
      <c r="E27" s="538">
        <v>2.9</v>
      </c>
      <c r="F27" s="414"/>
      <c r="G27" s="414"/>
      <c r="H27" s="402"/>
      <c r="I27" s="521">
        <v>19</v>
      </c>
      <c r="J27" s="402"/>
      <c r="K27" s="521">
        <v>19</v>
      </c>
      <c r="L27" s="402"/>
      <c r="M27" s="521">
        <v>10</v>
      </c>
      <c r="N27" s="414"/>
      <c r="O27" s="414"/>
      <c r="P27" s="402"/>
      <c r="Q27" s="535">
        <f>계산식!N7</f>
        <v>223.61</v>
      </c>
      <c r="R27" s="414"/>
      <c r="S27" s="414"/>
      <c r="T27" s="402"/>
      <c r="U27" s="520">
        <f>계산식!L7</f>
        <v>223.69</v>
      </c>
      <c r="V27" s="414"/>
      <c r="W27" s="414"/>
      <c r="X27" s="414"/>
      <c r="Y27" s="442"/>
      <c r="AE27" s="133" t="s">
        <v>258</v>
      </c>
      <c r="AF27" s="134">
        <v>60</v>
      </c>
      <c r="AG27" s="135">
        <f t="shared" ref="AG27:AG30" si="0">AF27*0.073556</f>
        <v>4.4133599999999999</v>
      </c>
      <c r="AH27" s="1"/>
      <c r="AI27" s="124"/>
      <c r="AJ27" s="124"/>
      <c r="AK27" s="1"/>
      <c r="AL27" s="1"/>
    </row>
    <row r="28" spans="1:44" ht="24.75" customHeight="1">
      <c r="A28" s="126" t="s">
        <v>259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8"/>
      <c r="AE28" s="133" t="s">
        <v>260</v>
      </c>
      <c r="AF28" s="134">
        <v>40</v>
      </c>
      <c r="AG28" s="135">
        <f t="shared" si="0"/>
        <v>2.94224</v>
      </c>
      <c r="AH28" s="1"/>
      <c r="AI28" s="124"/>
      <c r="AJ28" s="124"/>
      <c r="AK28" s="1"/>
      <c r="AL28" s="1"/>
    </row>
    <row r="29" spans="1:44" ht="37.5" customHeight="1">
      <c r="A29" s="136" t="s">
        <v>261</v>
      </c>
      <c r="B29" s="523" t="s">
        <v>262</v>
      </c>
      <c r="C29" s="451"/>
      <c r="D29" s="452"/>
      <c r="E29" s="522" t="s">
        <v>111</v>
      </c>
      <c r="F29" s="451"/>
      <c r="G29" s="451"/>
      <c r="H29" s="452"/>
      <c r="I29" s="522" t="s">
        <v>69</v>
      </c>
      <c r="J29" s="451"/>
      <c r="K29" s="451"/>
      <c r="L29" s="452"/>
      <c r="M29" s="522" t="s">
        <v>72</v>
      </c>
      <c r="N29" s="452"/>
      <c r="O29" s="522" t="s">
        <v>74</v>
      </c>
      <c r="P29" s="452"/>
      <c r="Q29" s="523" t="s">
        <v>253</v>
      </c>
      <c r="R29" s="451"/>
      <c r="S29" s="451"/>
      <c r="T29" s="452"/>
      <c r="U29" s="491" t="s">
        <v>263</v>
      </c>
      <c r="V29" s="412"/>
      <c r="W29" s="412"/>
      <c r="X29" s="412"/>
      <c r="Y29" s="417"/>
      <c r="AE29" s="133" t="s">
        <v>264</v>
      </c>
      <c r="AF29" s="134">
        <v>35</v>
      </c>
      <c r="AG29" s="135">
        <f t="shared" si="0"/>
        <v>2.5744599999999997</v>
      </c>
      <c r="AH29" s="1"/>
      <c r="AI29" s="124"/>
      <c r="AJ29" s="124"/>
      <c r="AK29" s="1"/>
      <c r="AL29" s="1"/>
    </row>
    <row r="30" spans="1:44" ht="22.5" customHeight="1">
      <c r="A30" s="137">
        <v>1</v>
      </c>
      <c r="B30" s="489" t="s">
        <v>123</v>
      </c>
      <c r="C30" s="412"/>
      <c r="D30" s="410"/>
      <c r="E30" s="489"/>
      <c r="F30" s="412"/>
      <c r="G30" s="412"/>
      <c r="H30" s="410"/>
      <c r="I30" s="489"/>
      <c r="J30" s="412"/>
      <c r="K30" s="412"/>
      <c r="L30" s="410"/>
      <c r="M30" s="489"/>
      <c r="N30" s="410"/>
      <c r="O30" s="489"/>
      <c r="P30" s="410"/>
      <c r="Q30" s="489"/>
      <c r="R30" s="412"/>
      <c r="S30" s="412"/>
      <c r="T30" s="410"/>
      <c r="U30" s="489"/>
      <c r="V30" s="412"/>
      <c r="W30" s="412"/>
      <c r="X30" s="412"/>
      <c r="Y30" s="417"/>
      <c r="AE30" s="133" t="s">
        <v>265</v>
      </c>
      <c r="AF30" s="134">
        <v>32</v>
      </c>
      <c r="AG30" s="135">
        <f t="shared" si="0"/>
        <v>2.3537919999999999</v>
      </c>
      <c r="AH30" s="1"/>
      <c r="AI30" s="124"/>
      <c r="AJ30" s="124"/>
      <c r="AK30" s="1"/>
      <c r="AL30" s="1"/>
    </row>
    <row r="31" spans="1:44" ht="22.5" customHeight="1">
      <c r="A31" s="137">
        <v>2</v>
      </c>
      <c r="B31" s="489" t="s">
        <v>266</v>
      </c>
      <c r="C31" s="412"/>
      <c r="D31" s="410"/>
      <c r="E31" s="489"/>
      <c r="F31" s="412"/>
      <c r="G31" s="412"/>
      <c r="H31" s="410"/>
      <c r="I31" s="489"/>
      <c r="J31" s="412"/>
      <c r="K31" s="412"/>
      <c r="L31" s="410"/>
      <c r="M31" s="489"/>
      <c r="N31" s="410"/>
      <c r="O31" s="489"/>
      <c r="P31" s="410"/>
      <c r="Q31" s="489"/>
      <c r="R31" s="412"/>
      <c r="S31" s="412"/>
      <c r="T31" s="410"/>
      <c r="U31" s="489"/>
      <c r="V31" s="412"/>
      <c r="W31" s="412"/>
      <c r="X31" s="412"/>
      <c r="Y31" s="417"/>
      <c r="AE31" s="1"/>
      <c r="AF31" s="1"/>
      <c r="AG31" s="1"/>
      <c r="AH31" s="1"/>
      <c r="AI31" s="124"/>
      <c r="AJ31" s="124"/>
      <c r="AK31" s="1"/>
      <c r="AL31" s="1"/>
    </row>
    <row r="32" spans="1:44" ht="22.5" customHeight="1">
      <c r="A32" s="137">
        <v>3</v>
      </c>
      <c r="B32" s="489" t="s">
        <v>267</v>
      </c>
      <c r="C32" s="412"/>
      <c r="D32" s="410"/>
      <c r="E32" s="489"/>
      <c r="F32" s="412"/>
      <c r="G32" s="412"/>
      <c r="H32" s="410"/>
      <c r="I32" s="489"/>
      <c r="J32" s="412"/>
      <c r="K32" s="412"/>
      <c r="L32" s="410"/>
      <c r="M32" s="489"/>
      <c r="N32" s="410"/>
      <c r="O32" s="489"/>
      <c r="P32" s="410"/>
      <c r="Q32" s="489"/>
      <c r="R32" s="412"/>
      <c r="S32" s="412"/>
      <c r="T32" s="410"/>
      <c r="U32" s="489"/>
      <c r="V32" s="412"/>
      <c r="W32" s="412"/>
      <c r="X32" s="412"/>
      <c r="Y32" s="417"/>
      <c r="AE32" s="138" t="s">
        <v>109</v>
      </c>
      <c r="AF32" s="139" t="s">
        <v>268</v>
      </c>
      <c r="AG32" s="140" t="s">
        <v>269</v>
      </c>
      <c r="AH32" s="1"/>
      <c r="AI32" s="124"/>
      <c r="AJ32" s="124"/>
      <c r="AK32" s="1"/>
      <c r="AL32" s="1"/>
    </row>
    <row r="33" spans="1:38" ht="22.5" customHeight="1">
      <c r="A33" s="137">
        <v>4</v>
      </c>
      <c r="B33" s="489" t="s">
        <v>270</v>
      </c>
      <c r="C33" s="412"/>
      <c r="D33" s="410"/>
      <c r="E33" s="489"/>
      <c r="F33" s="412"/>
      <c r="G33" s="412"/>
      <c r="H33" s="410"/>
      <c r="I33" s="489"/>
      <c r="J33" s="412"/>
      <c r="K33" s="412"/>
      <c r="L33" s="410"/>
      <c r="M33" s="489"/>
      <c r="N33" s="410"/>
      <c r="O33" s="489"/>
      <c r="P33" s="410"/>
      <c r="Q33" s="489"/>
      <c r="R33" s="412"/>
      <c r="S33" s="412"/>
      <c r="T33" s="410"/>
      <c r="U33" s="489"/>
      <c r="V33" s="412"/>
      <c r="W33" s="412"/>
      <c r="X33" s="412"/>
      <c r="Y33" s="417"/>
      <c r="AE33" s="141">
        <v>1</v>
      </c>
      <c r="AF33" s="142">
        <v>3.99</v>
      </c>
      <c r="AG33" s="143">
        <v>0.157</v>
      </c>
      <c r="AH33" s="1"/>
      <c r="AI33" s="124"/>
      <c r="AJ33" s="124"/>
      <c r="AK33" s="1"/>
      <c r="AL33" s="1"/>
    </row>
    <row r="34" spans="1:38" ht="22.5" customHeight="1">
      <c r="A34" s="137">
        <v>5</v>
      </c>
      <c r="B34" s="489" t="s">
        <v>271</v>
      </c>
      <c r="C34" s="412"/>
      <c r="D34" s="410"/>
      <c r="E34" s="489"/>
      <c r="F34" s="412"/>
      <c r="G34" s="412"/>
      <c r="H34" s="410"/>
      <c r="I34" s="489"/>
      <c r="J34" s="412"/>
      <c r="K34" s="412"/>
      <c r="L34" s="410"/>
      <c r="M34" s="489"/>
      <c r="N34" s="410"/>
      <c r="O34" s="489"/>
      <c r="P34" s="410"/>
      <c r="Q34" s="489"/>
      <c r="R34" s="412"/>
      <c r="S34" s="412"/>
      <c r="T34" s="410"/>
      <c r="U34" s="489"/>
      <c r="V34" s="412"/>
      <c r="W34" s="412"/>
      <c r="X34" s="412"/>
      <c r="Y34" s="417"/>
      <c r="AE34" s="141">
        <v>2</v>
      </c>
      <c r="AF34" s="142">
        <v>4.51</v>
      </c>
      <c r="AG34" s="143">
        <v>0.17799999999999999</v>
      </c>
      <c r="AH34" s="1"/>
      <c r="AI34" s="124"/>
      <c r="AJ34" s="124"/>
      <c r="AK34" s="1"/>
      <c r="AL34" s="1"/>
    </row>
    <row r="35" spans="1:38" ht="22.5" customHeight="1">
      <c r="A35" s="137">
        <v>6</v>
      </c>
      <c r="B35" s="489" t="s">
        <v>272</v>
      </c>
      <c r="C35" s="412"/>
      <c r="D35" s="410"/>
      <c r="E35" s="489"/>
      <c r="F35" s="412"/>
      <c r="G35" s="412"/>
      <c r="H35" s="410"/>
      <c r="I35" s="489"/>
      <c r="J35" s="412"/>
      <c r="K35" s="412"/>
      <c r="L35" s="410"/>
      <c r="M35" s="489"/>
      <c r="N35" s="410"/>
      <c r="O35" s="489"/>
      <c r="P35" s="410"/>
      <c r="Q35" s="489"/>
      <c r="R35" s="412"/>
      <c r="S35" s="412"/>
      <c r="T35" s="410"/>
      <c r="U35" s="489"/>
      <c r="V35" s="412"/>
      <c r="W35" s="412"/>
      <c r="X35" s="412"/>
      <c r="Y35" s="417"/>
      <c r="AE35" s="141">
        <v>3</v>
      </c>
      <c r="AF35" s="142">
        <v>6.45</v>
      </c>
      <c r="AG35" s="143">
        <v>0.254</v>
      </c>
      <c r="AH35" s="1"/>
      <c r="AI35" s="1"/>
      <c r="AJ35" s="1"/>
      <c r="AK35" s="1"/>
      <c r="AL35" s="1"/>
    </row>
    <row r="36" spans="1:38" ht="22.5" customHeight="1">
      <c r="A36" s="137">
        <v>7</v>
      </c>
      <c r="B36" s="489"/>
      <c r="C36" s="412"/>
      <c r="D36" s="410"/>
      <c r="E36" s="489"/>
      <c r="F36" s="412"/>
      <c r="G36" s="412"/>
      <c r="H36" s="410"/>
      <c r="I36" s="489"/>
      <c r="J36" s="412"/>
      <c r="K36" s="412"/>
      <c r="L36" s="410"/>
      <c r="M36" s="489"/>
      <c r="N36" s="410"/>
      <c r="O36" s="489"/>
      <c r="P36" s="410"/>
      <c r="Q36" s="489"/>
      <c r="R36" s="412"/>
      <c r="S36" s="412"/>
      <c r="T36" s="410"/>
      <c r="U36" s="489"/>
      <c r="V36" s="412"/>
      <c r="W36" s="412"/>
      <c r="X36" s="412"/>
      <c r="Y36" s="417"/>
      <c r="AE36" s="141">
        <v>4</v>
      </c>
      <c r="AF36" s="142">
        <v>7.89</v>
      </c>
      <c r="AG36" s="143">
        <v>0.311</v>
      </c>
      <c r="AH36" s="1"/>
      <c r="AI36" s="1"/>
      <c r="AJ36" s="1"/>
      <c r="AK36" s="1"/>
      <c r="AL36" s="1"/>
    </row>
    <row r="37" spans="1:38" ht="22.5" customHeight="1">
      <c r="A37" s="137">
        <v>8</v>
      </c>
      <c r="B37" s="489"/>
      <c r="C37" s="412"/>
      <c r="D37" s="410"/>
      <c r="E37" s="489"/>
      <c r="F37" s="412"/>
      <c r="G37" s="412"/>
      <c r="H37" s="410"/>
      <c r="I37" s="489"/>
      <c r="J37" s="412"/>
      <c r="K37" s="412"/>
      <c r="L37" s="410"/>
      <c r="M37" s="489"/>
      <c r="N37" s="410"/>
      <c r="O37" s="489"/>
      <c r="P37" s="410"/>
      <c r="Q37" s="489"/>
      <c r="R37" s="412"/>
      <c r="S37" s="412"/>
      <c r="T37" s="410"/>
      <c r="U37" s="489"/>
      <c r="V37" s="412"/>
      <c r="W37" s="412"/>
      <c r="X37" s="412"/>
      <c r="Y37" s="417"/>
      <c r="AE37" s="141">
        <v>5</v>
      </c>
      <c r="AF37" s="142">
        <v>9.3699999999999992</v>
      </c>
      <c r="AG37" s="143">
        <v>0.36899999999999999</v>
      </c>
      <c r="AH37" s="1"/>
      <c r="AI37" s="1"/>
      <c r="AJ37" s="1"/>
      <c r="AK37" s="1"/>
      <c r="AL37" s="1"/>
    </row>
    <row r="38" spans="1:38" ht="22.5" customHeight="1">
      <c r="A38" s="137">
        <v>9</v>
      </c>
      <c r="B38" s="489"/>
      <c r="C38" s="412"/>
      <c r="D38" s="410"/>
      <c r="E38" s="489"/>
      <c r="F38" s="412"/>
      <c r="G38" s="412"/>
      <c r="H38" s="410"/>
      <c r="I38" s="489"/>
      <c r="J38" s="412"/>
      <c r="K38" s="412"/>
      <c r="L38" s="410"/>
      <c r="M38" s="489"/>
      <c r="N38" s="410"/>
      <c r="O38" s="489"/>
      <c r="P38" s="410"/>
      <c r="Q38" s="489"/>
      <c r="R38" s="412"/>
      <c r="S38" s="412"/>
      <c r="T38" s="410"/>
      <c r="U38" s="489"/>
      <c r="V38" s="412"/>
      <c r="W38" s="412"/>
      <c r="X38" s="412"/>
      <c r="Y38" s="417"/>
      <c r="AE38" s="144">
        <v>6</v>
      </c>
      <c r="AF38" s="145">
        <v>12.69</v>
      </c>
      <c r="AG38" s="146">
        <v>0.5</v>
      </c>
      <c r="AH38" s="1"/>
      <c r="AI38" s="1"/>
      <c r="AJ38" s="1"/>
      <c r="AK38" s="1"/>
      <c r="AL38" s="1"/>
    </row>
    <row r="39" spans="1:38" ht="22.5" customHeight="1">
      <c r="A39" s="137">
        <v>10</v>
      </c>
      <c r="B39" s="489"/>
      <c r="C39" s="412"/>
      <c r="D39" s="410"/>
      <c r="E39" s="489"/>
      <c r="F39" s="412"/>
      <c r="G39" s="412"/>
      <c r="H39" s="410"/>
      <c r="I39" s="489"/>
      <c r="J39" s="412"/>
      <c r="K39" s="412"/>
      <c r="L39" s="410"/>
      <c r="M39" s="489"/>
      <c r="N39" s="410"/>
      <c r="O39" s="489"/>
      <c r="P39" s="410"/>
      <c r="Q39" s="489"/>
      <c r="R39" s="412"/>
      <c r="S39" s="412"/>
      <c r="T39" s="410"/>
      <c r="U39" s="489"/>
      <c r="V39" s="412"/>
      <c r="W39" s="412"/>
      <c r="X39" s="412"/>
      <c r="Y39" s="417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37">
        <v>11</v>
      </c>
      <c r="B40" s="489"/>
      <c r="C40" s="412"/>
      <c r="D40" s="410"/>
      <c r="E40" s="489"/>
      <c r="F40" s="412"/>
      <c r="G40" s="412"/>
      <c r="H40" s="410"/>
      <c r="I40" s="489"/>
      <c r="J40" s="412"/>
      <c r="K40" s="412"/>
      <c r="L40" s="410"/>
      <c r="M40" s="489"/>
      <c r="N40" s="410"/>
      <c r="O40" s="489"/>
      <c r="P40" s="410"/>
      <c r="Q40" s="489"/>
      <c r="R40" s="412"/>
      <c r="S40" s="412"/>
      <c r="T40" s="410"/>
      <c r="U40" s="489"/>
      <c r="V40" s="412"/>
      <c r="W40" s="412"/>
      <c r="X40" s="412"/>
      <c r="Y40" s="417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37">
        <v>12</v>
      </c>
      <c r="B41" s="489"/>
      <c r="C41" s="412"/>
      <c r="D41" s="410"/>
      <c r="E41" s="489"/>
      <c r="F41" s="412"/>
      <c r="G41" s="412"/>
      <c r="H41" s="410"/>
      <c r="I41" s="489"/>
      <c r="J41" s="412"/>
      <c r="K41" s="412"/>
      <c r="L41" s="410"/>
      <c r="M41" s="489"/>
      <c r="N41" s="410"/>
      <c r="O41" s="489"/>
      <c r="P41" s="410"/>
      <c r="Q41" s="489"/>
      <c r="R41" s="412"/>
      <c r="S41" s="412"/>
      <c r="T41" s="410"/>
      <c r="U41" s="489"/>
      <c r="V41" s="412"/>
      <c r="W41" s="412"/>
      <c r="X41" s="412"/>
      <c r="Y41" s="417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37">
        <v>13</v>
      </c>
      <c r="B42" s="489"/>
      <c r="C42" s="412"/>
      <c r="D42" s="410"/>
      <c r="E42" s="489"/>
      <c r="F42" s="412"/>
      <c r="G42" s="412"/>
      <c r="H42" s="410"/>
      <c r="I42" s="489"/>
      <c r="J42" s="412"/>
      <c r="K42" s="412"/>
      <c r="L42" s="410"/>
      <c r="M42" s="489"/>
      <c r="N42" s="410"/>
      <c r="O42" s="489"/>
      <c r="P42" s="410"/>
      <c r="Q42" s="489"/>
      <c r="R42" s="412"/>
      <c r="S42" s="412"/>
      <c r="T42" s="410"/>
      <c r="U42" s="489"/>
      <c r="V42" s="412"/>
      <c r="W42" s="412"/>
      <c r="X42" s="412"/>
      <c r="Y42" s="417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37">
        <v>14</v>
      </c>
      <c r="B43" s="489"/>
      <c r="C43" s="412"/>
      <c r="D43" s="410"/>
      <c r="E43" s="489"/>
      <c r="F43" s="412"/>
      <c r="G43" s="412"/>
      <c r="H43" s="410"/>
      <c r="I43" s="489"/>
      <c r="J43" s="412"/>
      <c r="K43" s="412"/>
      <c r="L43" s="410"/>
      <c r="M43" s="489"/>
      <c r="N43" s="410"/>
      <c r="O43" s="489"/>
      <c r="P43" s="410"/>
      <c r="Q43" s="489"/>
      <c r="R43" s="412"/>
      <c r="S43" s="412"/>
      <c r="T43" s="410"/>
      <c r="U43" s="489"/>
      <c r="V43" s="412"/>
      <c r="W43" s="412"/>
      <c r="X43" s="412"/>
      <c r="Y43" s="417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37">
        <v>15</v>
      </c>
      <c r="B44" s="489"/>
      <c r="C44" s="412"/>
      <c r="D44" s="410"/>
      <c r="E44" s="489"/>
      <c r="F44" s="412"/>
      <c r="G44" s="412"/>
      <c r="H44" s="410"/>
      <c r="I44" s="489"/>
      <c r="J44" s="412"/>
      <c r="K44" s="412"/>
      <c r="L44" s="410"/>
      <c r="M44" s="489"/>
      <c r="N44" s="410"/>
      <c r="O44" s="489"/>
      <c r="P44" s="410"/>
      <c r="Q44" s="489"/>
      <c r="R44" s="412"/>
      <c r="S44" s="412"/>
      <c r="T44" s="410"/>
      <c r="U44" s="489"/>
      <c r="V44" s="412"/>
      <c r="W44" s="412"/>
      <c r="X44" s="412"/>
      <c r="Y44" s="417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37">
        <v>16</v>
      </c>
      <c r="B45" s="489"/>
      <c r="C45" s="412"/>
      <c r="D45" s="410"/>
      <c r="E45" s="489"/>
      <c r="F45" s="412"/>
      <c r="G45" s="412"/>
      <c r="H45" s="410"/>
      <c r="I45" s="489"/>
      <c r="J45" s="412"/>
      <c r="K45" s="412"/>
      <c r="L45" s="410"/>
      <c r="M45" s="489"/>
      <c r="N45" s="410"/>
      <c r="O45" s="489"/>
      <c r="P45" s="410"/>
      <c r="Q45" s="489"/>
      <c r="R45" s="412"/>
      <c r="S45" s="412"/>
      <c r="T45" s="410"/>
      <c r="U45" s="489"/>
      <c r="V45" s="412"/>
      <c r="W45" s="412"/>
      <c r="X45" s="412"/>
      <c r="Y45" s="417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37">
        <v>17</v>
      </c>
      <c r="B46" s="489"/>
      <c r="C46" s="412"/>
      <c r="D46" s="410"/>
      <c r="E46" s="489"/>
      <c r="F46" s="412"/>
      <c r="G46" s="412"/>
      <c r="H46" s="410"/>
      <c r="I46" s="489"/>
      <c r="J46" s="412"/>
      <c r="K46" s="412"/>
      <c r="L46" s="410"/>
      <c r="M46" s="489"/>
      <c r="N46" s="410"/>
      <c r="O46" s="489"/>
      <c r="P46" s="410"/>
      <c r="Q46" s="489"/>
      <c r="R46" s="412"/>
      <c r="S46" s="412"/>
      <c r="T46" s="410"/>
      <c r="U46" s="489"/>
      <c r="V46" s="412"/>
      <c r="W46" s="412"/>
      <c r="X46" s="412"/>
      <c r="Y46" s="417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37">
        <v>18</v>
      </c>
      <c r="B47" s="489"/>
      <c r="C47" s="412"/>
      <c r="D47" s="410"/>
      <c r="E47" s="489"/>
      <c r="F47" s="412"/>
      <c r="G47" s="412"/>
      <c r="H47" s="410"/>
      <c r="I47" s="489"/>
      <c r="J47" s="412"/>
      <c r="K47" s="412"/>
      <c r="L47" s="410"/>
      <c r="M47" s="489"/>
      <c r="N47" s="410"/>
      <c r="O47" s="489"/>
      <c r="P47" s="410"/>
      <c r="Q47" s="489"/>
      <c r="R47" s="412"/>
      <c r="S47" s="412"/>
      <c r="T47" s="410"/>
      <c r="U47" s="489"/>
      <c r="V47" s="412"/>
      <c r="W47" s="412"/>
      <c r="X47" s="412"/>
      <c r="Y47" s="417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47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148"/>
      <c r="U48" s="529" t="s">
        <v>273</v>
      </c>
      <c r="V48" s="502"/>
      <c r="W48" s="530"/>
      <c r="X48" s="501"/>
      <c r="Y48" s="531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1"/>
      <c r="U49" s="419"/>
      <c r="V49" s="406"/>
      <c r="W49" s="419"/>
      <c r="X49" s="419"/>
      <c r="Y49" s="532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</mergeCells>
  <phoneticPr fontId="53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52" t="s">
        <v>65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4"/>
      <c r="O1" s="154"/>
      <c r="P1" s="155"/>
      <c r="Q1" s="555" t="s">
        <v>274</v>
      </c>
      <c r="R1" s="557">
        <f>(22.4/18*P7*100/((L10*(273/(273+L8))*((L11+L9)/760))+(22.4/18*P7)))</f>
        <v>1.0496607777805389</v>
      </c>
    </row>
    <row r="2" spans="1:20" ht="30" customHeight="1">
      <c r="A2" s="565" t="s">
        <v>66</v>
      </c>
      <c r="B2" s="566" t="s">
        <v>126</v>
      </c>
      <c r="C2" s="2"/>
      <c r="D2" s="2"/>
      <c r="E2" s="2"/>
      <c r="F2" s="2"/>
      <c r="G2" s="575">
        <v>22.4</v>
      </c>
      <c r="H2" s="419"/>
      <c r="I2" s="554" t="s">
        <v>42</v>
      </c>
      <c r="J2" s="2"/>
      <c r="K2" s="2"/>
      <c r="L2" s="2"/>
      <c r="M2" s="2"/>
      <c r="N2" s="1"/>
      <c r="O2" s="1"/>
      <c r="P2" s="157"/>
      <c r="Q2" s="556"/>
      <c r="R2" s="558"/>
    </row>
    <row r="3" spans="1:20" ht="30" customHeight="1">
      <c r="A3" s="507"/>
      <c r="B3" s="344"/>
      <c r="C3" s="156"/>
      <c r="D3" s="156"/>
      <c r="E3" s="156"/>
      <c r="F3" s="156"/>
      <c r="G3" s="575">
        <v>18</v>
      </c>
      <c r="H3" s="419"/>
      <c r="I3" s="419"/>
      <c r="J3" s="156"/>
      <c r="K3" s="156"/>
      <c r="L3" s="156"/>
      <c r="M3" s="156"/>
      <c r="N3" s="158"/>
      <c r="O3" s="566" t="s">
        <v>275</v>
      </c>
      <c r="P3" s="582">
        <v>100</v>
      </c>
      <c r="Q3" s="556"/>
      <c r="R3" s="558"/>
    </row>
    <row r="4" spans="1:20" ht="30" customHeight="1">
      <c r="A4" s="507"/>
      <c r="B4" s="344"/>
      <c r="C4" s="562" t="s">
        <v>58</v>
      </c>
      <c r="D4" s="562" t="s">
        <v>275</v>
      </c>
      <c r="E4" s="563">
        <v>273</v>
      </c>
      <c r="F4" s="470"/>
      <c r="G4" s="470"/>
      <c r="H4" s="554" t="s">
        <v>275</v>
      </c>
      <c r="I4" s="160" t="s">
        <v>18</v>
      </c>
      <c r="J4" s="161" t="s">
        <v>276</v>
      </c>
      <c r="K4" s="160" t="s">
        <v>52</v>
      </c>
      <c r="L4" s="566" t="s">
        <v>276</v>
      </c>
      <c r="M4" s="160">
        <v>22.4</v>
      </c>
      <c r="N4" s="554" t="s">
        <v>42</v>
      </c>
      <c r="O4" s="344"/>
      <c r="P4" s="504"/>
      <c r="Q4" s="556"/>
      <c r="R4" s="558"/>
    </row>
    <row r="5" spans="1:20" ht="30" customHeight="1">
      <c r="A5" s="507"/>
      <c r="B5" s="344"/>
      <c r="C5" s="344"/>
      <c r="D5" s="344"/>
      <c r="E5" s="2">
        <v>273</v>
      </c>
      <c r="F5" s="27" t="s">
        <v>276</v>
      </c>
      <c r="G5" s="2" t="s">
        <v>46</v>
      </c>
      <c r="H5" s="344"/>
      <c r="I5" s="554">
        <v>760</v>
      </c>
      <c r="J5" s="344"/>
      <c r="K5" s="344"/>
      <c r="L5" s="344"/>
      <c r="M5" s="2">
        <v>18</v>
      </c>
      <c r="N5" s="344"/>
      <c r="O5" s="1"/>
      <c r="P5" s="157"/>
      <c r="Q5" s="556"/>
      <c r="R5" s="558"/>
    </row>
    <row r="6" spans="1:20" ht="30" customHeight="1">
      <c r="A6" s="162"/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8"/>
      <c r="P6" s="163"/>
      <c r="Q6" s="556"/>
      <c r="R6" s="558"/>
    </row>
    <row r="7" spans="1:20" ht="30" customHeight="1">
      <c r="A7" s="29" t="s">
        <v>42</v>
      </c>
      <c r="B7" s="2" t="s">
        <v>125</v>
      </c>
      <c r="C7" s="512" t="s">
        <v>41</v>
      </c>
      <c r="D7" s="344"/>
      <c r="E7" s="344"/>
      <c r="F7" s="344"/>
      <c r="G7" s="344"/>
      <c r="H7" s="344"/>
      <c r="I7" s="344"/>
      <c r="J7" s="504"/>
      <c r="K7" s="164" t="s">
        <v>277</v>
      </c>
      <c r="L7" s="165">
        <v>223.69</v>
      </c>
      <c r="M7" s="166" t="s">
        <v>278</v>
      </c>
      <c r="N7" s="167">
        <v>223.61</v>
      </c>
      <c r="O7" s="166" t="s">
        <v>42</v>
      </c>
      <c r="P7" s="168">
        <f>L7-N7</f>
        <v>7.9999999999984084E-2</v>
      </c>
      <c r="Q7" s="556"/>
      <c r="R7" s="558"/>
    </row>
    <row r="8" spans="1:20" ht="30" customHeight="1">
      <c r="A8" s="29" t="s">
        <v>46</v>
      </c>
      <c r="B8" s="2" t="s">
        <v>125</v>
      </c>
      <c r="C8" s="512" t="s">
        <v>45</v>
      </c>
      <c r="D8" s="344"/>
      <c r="E8" s="344"/>
      <c r="F8" s="344"/>
      <c r="G8" s="344"/>
      <c r="H8" s="344"/>
      <c r="I8" s="344"/>
      <c r="J8" s="504"/>
      <c r="K8" s="169" t="s">
        <v>46</v>
      </c>
      <c r="L8" s="571">
        <f>기록부!I27</f>
        <v>19</v>
      </c>
      <c r="M8" s="412"/>
      <c r="N8" s="412"/>
      <c r="O8" s="412"/>
      <c r="P8" s="417"/>
      <c r="Q8" s="556"/>
      <c r="R8" s="558"/>
    </row>
    <row r="9" spans="1:20" ht="30" customHeight="1">
      <c r="A9" s="29" t="s">
        <v>52</v>
      </c>
      <c r="B9" s="2" t="s">
        <v>125</v>
      </c>
      <c r="C9" s="512" t="s">
        <v>51</v>
      </c>
      <c r="D9" s="344"/>
      <c r="E9" s="344"/>
      <c r="F9" s="344"/>
      <c r="G9" s="344"/>
      <c r="H9" s="344"/>
      <c r="I9" s="344"/>
      <c r="J9" s="504"/>
      <c r="K9" s="169" t="s">
        <v>52</v>
      </c>
      <c r="L9" s="570">
        <f>ROUND(40/13.6,1)</f>
        <v>2.9</v>
      </c>
      <c r="M9" s="412"/>
      <c r="N9" s="412"/>
      <c r="O9" s="412"/>
      <c r="P9" s="417"/>
      <c r="Q9" s="556"/>
      <c r="R9" s="558"/>
    </row>
    <row r="10" spans="1:20" ht="30" customHeight="1">
      <c r="A10" s="29" t="s">
        <v>58</v>
      </c>
      <c r="B10" s="2" t="s">
        <v>125</v>
      </c>
      <c r="C10" s="512" t="s">
        <v>57</v>
      </c>
      <c r="D10" s="344"/>
      <c r="E10" s="344"/>
      <c r="F10" s="344"/>
      <c r="G10" s="344"/>
      <c r="H10" s="344"/>
      <c r="I10" s="344"/>
      <c r="J10" s="504"/>
      <c r="K10" s="169" t="s">
        <v>58</v>
      </c>
      <c r="L10" s="583">
        <f>기록부!M27</f>
        <v>10</v>
      </c>
      <c r="M10" s="412"/>
      <c r="N10" s="412"/>
      <c r="O10" s="412"/>
      <c r="P10" s="417"/>
      <c r="Q10" s="556"/>
      <c r="R10" s="558"/>
    </row>
    <row r="11" spans="1:20" ht="30" customHeight="1">
      <c r="A11" s="162" t="s">
        <v>18</v>
      </c>
      <c r="B11" s="156" t="s">
        <v>125</v>
      </c>
      <c r="C11" s="564" t="s">
        <v>17</v>
      </c>
      <c r="D11" s="419"/>
      <c r="E11" s="419"/>
      <c r="F11" s="419"/>
      <c r="G11" s="419"/>
      <c r="H11" s="419"/>
      <c r="I11" s="419"/>
      <c r="J11" s="532"/>
      <c r="K11" s="170" t="s">
        <v>18</v>
      </c>
      <c r="L11" s="584">
        <f>기록부!S6</f>
        <v>760</v>
      </c>
      <c r="M11" s="414"/>
      <c r="N11" s="414"/>
      <c r="O11" s="414"/>
      <c r="P11" s="442"/>
      <c r="Q11" s="516"/>
      <c r="R11" s="559"/>
      <c r="S11" s="1" t="s">
        <v>279</v>
      </c>
    </row>
    <row r="12" spans="1:20" ht="30" customHeight="1">
      <c r="A12" s="171" t="s">
        <v>280</v>
      </c>
      <c r="B12" s="15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4"/>
      <c r="O12" s="154"/>
      <c r="P12" s="155"/>
      <c r="Q12" s="555" t="s">
        <v>281</v>
      </c>
      <c r="R12" s="589">
        <v>1.0213223317622142</v>
      </c>
      <c r="S12" s="1" t="s">
        <v>282</v>
      </c>
    </row>
    <row r="13" spans="1:20" ht="30" customHeight="1">
      <c r="A13" s="565" t="s">
        <v>71</v>
      </c>
      <c r="B13" s="566" t="s">
        <v>126</v>
      </c>
      <c r="C13" s="2">
        <v>1</v>
      </c>
      <c r="D13" s="554" t="s">
        <v>283</v>
      </c>
      <c r="E13" s="344"/>
      <c r="F13" s="344"/>
      <c r="G13" s="344"/>
      <c r="H13" s="344"/>
      <c r="I13" s="554" t="s">
        <v>275</v>
      </c>
      <c r="J13" s="156" t="s">
        <v>284</v>
      </c>
      <c r="K13" s="554" t="s">
        <v>276</v>
      </c>
      <c r="L13" s="554" t="s">
        <v>285</v>
      </c>
      <c r="M13" s="554" t="s">
        <v>275</v>
      </c>
      <c r="N13" s="2">
        <v>273</v>
      </c>
      <c r="O13" s="554" t="s">
        <v>275</v>
      </c>
      <c r="P13" s="159" t="s">
        <v>286</v>
      </c>
      <c r="Q13" s="556"/>
      <c r="R13" s="558"/>
      <c r="T13" s="1" t="s">
        <v>287</v>
      </c>
    </row>
    <row r="14" spans="1:20" ht="30" customHeight="1">
      <c r="A14" s="507"/>
      <c r="B14" s="344"/>
      <c r="C14" s="2" t="s">
        <v>288</v>
      </c>
      <c r="D14" s="344"/>
      <c r="E14" s="344"/>
      <c r="F14" s="344"/>
      <c r="G14" s="344"/>
      <c r="H14" s="344"/>
      <c r="I14" s="419"/>
      <c r="J14" s="153">
        <v>100</v>
      </c>
      <c r="K14" s="344"/>
      <c r="L14" s="344"/>
      <c r="M14" s="344"/>
      <c r="N14" s="2" t="s">
        <v>289</v>
      </c>
      <c r="O14" s="344"/>
      <c r="P14" s="159">
        <v>760</v>
      </c>
      <c r="Q14" s="556"/>
      <c r="R14" s="558"/>
      <c r="T14" s="1" t="s">
        <v>290</v>
      </c>
    </row>
    <row r="15" spans="1:20" ht="30" customHeight="1">
      <c r="A15" s="162"/>
      <c r="B15" s="156"/>
      <c r="C15" s="156"/>
      <c r="D15" s="156"/>
      <c r="E15" s="156"/>
      <c r="F15" s="156"/>
      <c r="G15" s="156"/>
      <c r="H15" s="156"/>
      <c r="I15" s="156"/>
      <c r="J15" s="156"/>
      <c r="K15" s="158"/>
      <c r="L15" s="156"/>
      <c r="M15" s="156"/>
      <c r="N15" s="156"/>
      <c r="O15" s="158"/>
      <c r="P15" s="163"/>
      <c r="Q15" s="556"/>
      <c r="R15" s="558"/>
      <c r="S15" s="1" t="s">
        <v>291</v>
      </c>
    </row>
    <row r="16" spans="1:20" ht="30" customHeight="1">
      <c r="A16" s="29" t="s">
        <v>66</v>
      </c>
      <c r="B16" s="2" t="s">
        <v>125</v>
      </c>
      <c r="C16" s="512" t="s">
        <v>65</v>
      </c>
      <c r="D16" s="344"/>
      <c r="E16" s="344"/>
      <c r="F16" s="344"/>
      <c r="G16" s="344"/>
      <c r="H16" s="344"/>
      <c r="I16" s="344"/>
      <c r="J16" s="504"/>
      <c r="K16" s="164" t="s">
        <v>66</v>
      </c>
      <c r="L16" s="585">
        <f>R1</f>
        <v>1.0496607777805389</v>
      </c>
      <c r="M16" s="451"/>
      <c r="N16" s="451"/>
      <c r="O16" s="451"/>
      <c r="P16" s="505"/>
      <c r="Q16" s="556"/>
      <c r="R16" s="558"/>
    </row>
    <row r="17" spans="1:18" ht="30" customHeight="1">
      <c r="A17" s="29" t="s">
        <v>18</v>
      </c>
      <c r="B17" s="2" t="s">
        <v>125</v>
      </c>
      <c r="C17" s="512" t="s">
        <v>292</v>
      </c>
      <c r="D17" s="344"/>
      <c r="E17" s="344"/>
      <c r="F17" s="344"/>
      <c r="G17" s="344"/>
      <c r="H17" s="344"/>
      <c r="I17" s="344"/>
      <c r="J17" s="504"/>
      <c r="K17" s="169" t="s">
        <v>18</v>
      </c>
      <c r="L17" s="586">
        <f>기록부!S6</f>
        <v>760</v>
      </c>
      <c r="M17" s="412"/>
      <c r="N17" s="412"/>
      <c r="O17" s="412"/>
      <c r="P17" s="417"/>
      <c r="Q17" s="556"/>
      <c r="R17" s="558"/>
    </row>
    <row r="18" spans="1:18" ht="30" customHeight="1">
      <c r="A18" s="29" t="s">
        <v>98</v>
      </c>
      <c r="B18" s="2" t="s">
        <v>125</v>
      </c>
      <c r="C18" s="512" t="s">
        <v>97</v>
      </c>
      <c r="D18" s="344"/>
      <c r="E18" s="344"/>
      <c r="F18" s="344"/>
      <c r="G18" s="344"/>
      <c r="H18" s="344"/>
      <c r="I18" s="344"/>
      <c r="J18" s="504"/>
      <c r="K18" s="169" t="s">
        <v>98</v>
      </c>
      <c r="L18" s="587">
        <f>기록부!I24/13.6</f>
        <v>8.0882352941176475E-2</v>
      </c>
      <c r="M18" s="412"/>
      <c r="N18" s="412"/>
      <c r="O18" s="412"/>
      <c r="P18" s="417"/>
      <c r="Q18" s="556"/>
      <c r="R18" s="558"/>
    </row>
    <row r="19" spans="1:18" ht="30" customHeight="1">
      <c r="A19" s="162" t="s">
        <v>100</v>
      </c>
      <c r="B19" s="156" t="s">
        <v>125</v>
      </c>
      <c r="C19" s="564" t="s">
        <v>99</v>
      </c>
      <c r="D19" s="419"/>
      <c r="E19" s="419"/>
      <c r="F19" s="419"/>
      <c r="G19" s="419"/>
      <c r="H19" s="419"/>
      <c r="I19" s="419"/>
      <c r="J19" s="532"/>
      <c r="K19" s="170" t="s">
        <v>100</v>
      </c>
      <c r="L19" s="588">
        <f>기록부!C24</f>
        <v>78</v>
      </c>
      <c r="M19" s="414"/>
      <c r="N19" s="414"/>
      <c r="O19" s="414"/>
      <c r="P19" s="442"/>
      <c r="Q19" s="516"/>
      <c r="R19" s="559"/>
    </row>
    <row r="20" spans="1:18" ht="30" customHeight="1">
      <c r="A20" s="171" t="s">
        <v>293</v>
      </c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4"/>
      <c r="O20" s="154"/>
      <c r="P20" s="155"/>
      <c r="Q20" s="555" t="s">
        <v>294</v>
      </c>
      <c r="R20" s="557">
        <f>(L24*((2*L25*L26/L27)^(1/2)))</f>
        <v>2.3007857321069629</v>
      </c>
    </row>
    <row r="21" spans="1:18" ht="30" customHeight="1">
      <c r="A21" s="565" t="s">
        <v>32</v>
      </c>
      <c r="B21" s="566" t="s">
        <v>126</v>
      </c>
      <c r="C21" s="554" t="s">
        <v>81</v>
      </c>
      <c r="D21" s="572" t="s">
        <v>295</v>
      </c>
      <c r="E21" s="156">
        <v>2</v>
      </c>
      <c r="F21" s="156" t="s">
        <v>275</v>
      </c>
      <c r="G21" s="156" t="s">
        <v>82</v>
      </c>
      <c r="H21" s="156" t="s">
        <v>275</v>
      </c>
      <c r="I21" s="156" t="s">
        <v>83</v>
      </c>
      <c r="J21" s="2"/>
      <c r="K21" s="2"/>
      <c r="L21" s="2"/>
      <c r="M21" s="2"/>
      <c r="N21" s="1"/>
      <c r="O21" s="1"/>
      <c r="P21" s="157"/>
      <c r="Q21" s="556"/>
      <c r="R21" s="558"/>
    </row>
    <row r="22" spans="1:18" ht="30" customHeight="1">
      <c r="A22" s="507"/>
      <c r="B22" s="344"/>
      <c r="C22" s="344"/>
      <c r="D22" s="344"/>
      <c r="E22" s="562" t="s">
        <v>71</v>
      </c>
      <c r="F22" s="466"/>
      <c r="G22" s="466"/>
      <c r="H22" s="466"/>
      <c r="I22" s="466"/>
      <c r="J22" s="1"/>
      <c r="K22" s="1"/>
      <c r="L22" s="2"/>
      <c r="M22" s="2"/>
      <c r="N22" s="2"/>
      <c r="O22" s="1"/>
      <c r="P22" s="157"/>
      <c r="Q22" s="556"/>
      <c r="R22" s="558"/>
    </row>
    <row r="23" spans="1:18" ht="30" customHeight="1">
      <c r="A23" s="162"/>
      <c r="B23" s="156"/>
      <c r="C23" s="156"/>
      <c r="D23" s="156"/>
      <c r="E23" s="156"/>
      <c r="F23" s="156"/>
      <c r="G23" s="156"/>
      <c r="H23" s="156"/>
      <c r="I23" s="156"/>
      <c r="J23" s="156"/>
      <c r="K23" s="158"/>
      <c r="L23" s="156"/>
      <c r="M23" s="156"/>
      <c r="N23" s="156"/>
      <c r="O23" s="158"/>
      <c r="P23" s="163"/>
      <c r="Q23" s="556"/>
      <c r="R23" s="558"/>
    </row>
    <row r="24" spans="1:18" ht="30" customHeight="1">
      <c r="A24" s="29" t="s">
        <v>81</v>
      </c>
      <c r="B24" s="2" t="s">
        <v>125</v>
      </c>
      <c r="C24" s="512" t="s">
        <v>80</v>
      </c>
      <c r="D24" s="344"/>
      <c r="E24" s="344"/>
      <c r="F24" s="344"/>
      <c r="G24" s="344"/>
      <c r="H24" s="344"/>
      <c r="I24" s="344"/>
      <c r="J24" s="504"/>
      <c r="K24" s="164" t="s">
        <v>81</v>
      </c>
      <c r="L24" s="568">
        <f>기록부!S4</f>
        <v>0.83</v>
      </c>
      <c r="M24" s="451"/>
      <c r="N24" s="451"/>
      <c r="O24" s="451"/>
      <c r="P24" s="505"/>
      <c r="Q24" s="556"/>
      <c r="R24" s="558"/>
    </row>
    <row r="25" spans="1:18" ht="30" customHeight="1">
      <c r="A25" s="29" t="s">
        <v>82</v>
      </c>
      <c r="B25" s="2" t="s">
        <v>125</v>
      </c>
      <c r="C25" s="512" t="s">
        <v>296</v>
      </c>
      <c r="D25" s="344"/>
      <c r="E25" s="344"/>
      <c r="F25" s="344"/>
      <c r="G25" s="344"/>
      <c r="H25" s="344"/>
      <c r="I25" s="344"/>
      <c r="J25" s="504"/>
      <c r="K25" s="169" t="s">
        <v>82</v>
      </c>
      <c r="L25" s="567">
        <v>9.81</v>
      </c>
      <c r="M25" s="412"/>
      <c r="N25" s="412"/>
      <c r="O25" s="412"/>
      <c r="P25" s="417"/>
      <c r="Q25" s="556"/>
      <c r="R25" s="558"/>
    </row>
    <row r="26" spans="1:18" ht="30" customHeight="1">
      <c r="A26" s="29" t="s">
        <v>83</v>
      </c>
      <c r="B26" s="2" t="s">
        <v>125</v>
      </c>
      <c r="C26" s="512" t="s">
        <v>297</v>
      </c>
      <c r="D26" s="344"/>
      <c r="E26" s="344"/>
      <c r="F26" s="344"/>
      <c r="G26" s="344"/>
      <c r="H26" s="344"/>
      <c r="I26" s="344"/>
      <c r="J26" s="504"/>
      <c r="K26" s="169" t="s">
        <v>83</v>
      </c>
      <c r="L26" s="570">
        <f>기록부!K24</f>
        <v>0.4</v>
      </c>
      <c r="M26" s="412"/>
      <c r="N26" s="412"/>
      <c r="O26" s="412"/>
      <c r="P26" s="417"/>
      <c r="Q26" s="556"/>
      <c r="R26" s="558"/>
    </row>
    <row r="27" spans="1:18" ht="30" customHeight="1">
      <c r="A27" s="162" t="s">
        <v>71</v>
      </c>
      <c r="B27" s="156" t="s">
        <v>125</v>
      </c>
      <c r="C27" s="564" t="s">
        <v>94</v>
      </c>
      <c r="D27" s="419"/>
      <c r="E27" s="419"/>
      <c r="F27" s="419"/>
      <c r="G27" s="419"/>
      <c r="H27" s="419"/>
      <c r="I27" s="419"/>
      <c r="J27" s="532"/>
      <c r="K27" s="170" t="s">
        <v>71</v>
      </c>
      <c r="L27" s="561">
        <f>R12</f>
        <v>1.0213223317622142</v>
      </c>
      <c r="M27" s="414"/>
      <c r="N27" s="414"/>
      <c r="O27" s="414"/>
      <c r="P27" s="442"/>
      <c r="Q27" s="516"/>
      <c r="R27" s="559"/>
    </row>
    <row r="28" spans="1:18" ht="30" customHeight="1">
      <c r="A28" s="171" t="s">
        <v>298</v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4"/>
      <c r="O28" s="154"/>
      <c r="P28" s="155"/>
      <c r="Q28" s="555" t="s">
        <v>299</v>
      </c>
      <c r="R28" s="557">
        <f>(L32*L33*18/(100-L33)/22.4)</f>
        <v>3.4864181739518889</v>
      </c>
    </row>
    <row r="29" spans="1:18" ht="30" customHeight="1">
      <c r="A29" s="565" t="s">
        <v>10</v>
      </c>
      <c r="B29" s="566" t="s">
        <v>126</v>
      </c>
      <c r="C29" s="554" t="s">
        <v>76</v>
      </c>
      <c r="D29" s="554" t="s">
        <v>275</v>
      </c>
      <c r="E29" s="156"/>
      <c r="F29" s="156" t="s">
        <v>66</v>
      </c>
      <c r="G29" s="156"/>
      <c r="H29" s="554" t="s">
        <v>275</v>
      </c>
      <c r="I29" s="156">
        <v>18</v>
      </c>
      <c r="J29" s="2"/>
      <c r="K29" s="2"/>
      <c r="L29" s="2"/>
      <c r="M29" s="2"/>
      <c r="N29" s="1"/>
      <c r="O29" s="1"/>
      <c r="P29" s="157"/>
      <c r="Q29" s="556"/>
      <c r="R29" s="558"/>
    </row>
    <row r="30" spans="1:18" ht="30" customHeight="1">
      <c r="A30" s="507"/>
      <c r="B30" s="344"/>
      <c r="C30" s="344"/>
      <c r="D30" s="344"/>
      <c r="E30" s="2">
        <v>100</v>
      </c>
      <c r="F30" s="27" t="s">
        <v>15</v>
      </c>
      <c r="G30" s="2" t="s">
        <v>66</v>
      </c>
      <c r="H30" s="344"/>
      <c r="I30" s="2">
        <v>22.4</v>
      </c>
      <c r="J30" s="2"/>
      <c r="K30" s="1"/>
      <c r="L30" s="2"/>
      <c r="M30" s="2"/>
      <c r="N30" s="2"/>
      <c r="O30" s="1"/>
      <c r="P30" s="157"/>
      <c r="Q30" s="556"/>
      <c r="R30" s="558"/>
    </row>
    <row r="31" spans="1:18" ht="30" customHeight="1">
      <c r="A31" s="162"/>
      <c r="B31" s="156"/>
      <c r="C31" s="156"/>
      <c r="D31" s="156"/>
      <c r="E31" s="156"/>
      <c r="F31" s="156"/>
      <c r="G31" s="156"/>
      <c r="H31" s="156"/>
      <c r="I31" s="156"/>
      <c r="J31" s="156"/>
      <c r="K31" s="158"/>
      <c r="L31" s="156"/>
      <c r="M31" s="156"/>
      <c r="N31" s="156"/>
      <c r="O31" s="158"/>
      <c r="P31" s="163"/>
      <c r="Q31" s="556"/>
      <c r="R31" s="558"/>
    </row>
    <row r="32" spans="1:18" ht="30" customHeight="1">
      <c r="A32" s="29" t="s">
        <v>76</v>
      </c>
      <c r="B32" s="2" t="s">
        <v>125</v>
      </c>
      <c r="C32" s="512" t="s">
        <v>75</v>
      </c>
      <c r="D32" s="344"/>
      <c r="E32" s="344"/>
      <c r="F32" s="344"/>
      <c r="G32" s="344"/>
      <c r="H32" s="344"/>
      <c r="I32" s="344"/>
      <c r="J32" s="504"/>
      <c r="K32" s="164" t="s">
        <v>76</v>
      </c>
      <c r="L32" s="569">
        <f>기록부!O23</f>
        <v>409</v>
      </c>
      <c r="M32" s="451"/>
      <c r="N32" s="451"/>
      <c r="O32" s="451"/>
      <c r="P32" s="505"/>
      <c r="Q32" s="556"/>
      <c r="R32" s="558"/>
    </row>
    <row r="33" spans="1:18" ht="30" customHeight="1">
      <c r="A33" s="162" t="s">
        <v>66</v>
      </c>
      <c r="B33" s="156" t="s">
        <v>125</v>
      </c>
      <c r="C33" s="564" t="s">
        <v>78</v>
      </c>
      <c r="D33" s="419"/>
      <c r="E33" s="419"/>
      <c r="F33" s="419"/>
      <c r="G33" s="419"/>
      <c r="H33" s="419"/>
      <c r="I33" s="419"/>
      <c r="J33" s="532"/>
      <c r="K33" s="170" t="s">
        <v>66</v>
      </c>
      <c r="L33" s="561">
        <f>R1</f>
        <v>1.0496607777805389</v>
      </c>
      <c r="M33" s="414"/>
      <c r="N33" s="414"/>
      <c r="O33" s="414"/>
      <c r="P33" s="442"/>
      <c r="Q33" s="516"/>
      <c r="R33" s="559"/>
    </row>
    <row r="34" spans="1:18" ht="30" customHeight="1">
      <c r="A34" s="152" t="s">
        <v>300</v>
      </c>
      <c r="B34" s="153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4"/>
      <c r="O34" s="154"/>
      <c r="P34" s="154"/>
      <c r="Q34" s="555" t="s">
        <v>301</v>
      </c>
      <c r="R34" s="557">
        <f>L40*(0.00346*L41+L42/L43*(L44+L45/13.6))*1.667*10000/(L46*L47*L48*L49)</f>
        <v>98.187978413528313</v>
      </c>
    </row>
    <row r="35" spans="1:18" ht="30" customHeight="1">
      <c r="A35" s="172"/>
      <c r="B35" s="1"/>
      <c r="C35" s="554" t="s">
        <v>6</v>
      </c>
      <c r="D35" s="573" t="s">
        <v>302</v>
      </c>
      <c r="E35" s="574">
        <v>3.4599999999999995E-3</v>
      </c>
      <c r="F35" s="554" t="s">
        <v>10</v>
      </c>
      <c r="G35" s="566" t="s">
        <v>276</v>
      </c>
      <c r="H35" s="575" t="s">
        <v>12</v>
      </c>
      <c r="I35" s="419"/>
      <c r="J35" s="419"/>
      <c r="K35" s="419"/>
      <c r="L35" s="158"/>
      <c r="M35" s="512" t="s">
        <v>127</v>
      </c>
      <c r="N35" s="1"/>
      <c r="O35" s="1"/>
      <c r="P35" s="1"/>
      <c r="Q35" s="556"/>
      <c r="R35" s="558"/>
    </row>
    <row r="36" spans="1:18" ht="30" customHeight="1">
      <c r="A36" s="565" t="s">
        <v>38</v>
      </c>
      <c r="B36" s="1"/>
      <c r="C36" s="344"/>
      <c r="D36" s="344"/>
      <c r="E36" s="344"/>
      <c r="F36" s="344"/>
      <c r="G36" s="344"/>
      <c r="H36" s="562" t="s">
        <v>14</v>
      </c>
      <c r="I36" s="554" t="s">
        <v>275</v>
      </c>
      <c r="J36" s="554" t="s">
        <v>18</v>
      </c>
      <c r="K36" s="576" t="s">
        <v>276</v>
      </c>
      <c r="L36" s="156" t="s">
        <v>19</v>
      </c>
      <c r="M36" s="344"/>
      <c r="N36" s="1"/>
      <c r="O36" s="1"/>
      <c r="P36" s="1"/>
      <c r="Q36" s="556"/>
      <c r="R36" s="558"/>
    </row>
    <row r="37" spans="1:18" ht="30" customHeight="1">
      <c r="A37" s="507"/>
      <c r="B37" s="554" t="s">
        <v>126</v>
      </c>
      <c r="C37" s="158"/>
      <c r="D37" s="158"/>
      <c r="E37" s="158"/>
      <c r="F37" s="158"/>
      <c r="G37" s="158"/>
      <c r="H37" s="419"/>
      <c r="I37" s="419"/>
      <c r="J37" s="419"/>
      <c r="K37" s="419"/>
      <c r="L37" s="156">
        <v>13.6</v>
      </c>
      <c r="M37" s="554" t="s">
        <v>275</v>
      </c>
      <c r="N37" s="554">
        <v>1.667</v>
      </c>
      <c r="O37" s="554" t="s">
        <v>275</v>
      </c>
      <c r="P37" s="554">
        <v>10000</v>
      </c>
      <c r="Q37" s="556"/>
      <c r="R37" s="558"/>
    </row>
    <row r="38" spans="1:18" ht="30" customHeight="1">
      <c r="A38" s="507"/>
      <c r="B38" s="344"/>
      <c r="C38" s="1"/>
      <c r="D38" s="2" t="s">
        <v>22</v>
      </c>
      <c r="E38" s="27" t="s">
        <v>275</v>
      </c>
      <c r="F38" s="2" t="s">
        <v>27</v>
      </c>
      <c r="G38" s="27" t="s">
        <v>275</v>
      </c>
      <c r="H38" s="2" t="s">
        <v>32</v>
      </c>
      <c r="I38" s="27" t="s">
        <v>275</v>
      </c>
      <c r="J38" s="2" t="s">
        <v>35</v>
      </c>
      <c r="K38" s="1"/>
      <c r="L38" s="1"/>
      <c r="M38" s="344"/>
      <c r="N38" s="344"/>
      <c r="O38" s="344"/>
      <c r="P38" s="344"/>
      <c r="Q38" s="556"/>
      <c r="R38" s="558"/>
    </row>
    <row r="39" spans="1:18" ht="30" customHeight="1">
      <c r="A39" s="405"/>
      <c r="B39" s="15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8"/>
      <c r="P39" s="158"/>
      <c r="Q39" s="556"/>
      <c r="R39" s="558"/>
    </row>
    <row r="40" spans="1:18" ht="30" customHeight="1">
      <c r="A40" s="28" t="s">
        <v>6</v>
      </c>
      <c r="B40" s="153" t="s">
        <v>125</v>
      </c>
      <c r="C40" s="580" t="s">
        <v>5</v>
      </c>
      <c r="D40" s="466"/>
      <c r="E40" s="466"/>
      <c r="F40" s="466"/>
      <c r="G40" s="466"/>
      <c r="H40" s="466"/>
      <c r="I40" s="466"/>
      <c r="J40" s="581"/>
      <c r="K40" s="173" t="s">
        <v>6</v>
      </c>
      <c r="L40" s="551">
        <f>273+기록부!C24</f>
        <v>351</v>
      </c>
      <c r="M40" s="421"/>
      <c r="N40" s="421"/>
      <c r="O40" s="421"/>
      <c r="P40" s="421"/>
      <c r="Q40" s="556"/>
      <c r="R40" s="558"/>
    </row>
    <row r="41" spans="1:18" ht="30" customHeight="1">
      <c r="A41" s="29" t="s">
        <v>10</v>
      </c>
      <c r="B41" s="2" t="s">
        <v>125</v>
      </c>
      <c r="C41" s="512" t="s">
        <v>9</v>
      </c>
      <c r="D41" s="344"/>
      <c r="E41" s="344"/>
      <c r="F41" s="344"/>
      <c r="G41" s="344"/>
      <c r="H41" s="344"/>
      <c r="I41" s="344"/>
      <c r="J41" s="504"/>
      <c r="K41" s="174" t="s">
        <v>10</v>
      </c>
      <c r="L41" s="550">
        <f>R28</f>
        <v>3.4864181739518889</v>
      </c>
      <c r="M41" s="412"/>
      <c r="N41" s="412"/>
      <c r="O41" s="412"/>
      <c r="P41" s="412"/>
      <c r="Q41" s="556"/>
      <c r="R41" s="558"/>
    </row>
    <row r="42" spans="1:18" ht="30" customHeight="1">
      <c r="A42" s="29" t="s">
        <v>12</v>
      </c>
      <c r="B42" s="2" t="s">
        <v>125</v>
      </c>
      <c r="C42" s="512" t="s">
        <v>303</v>
      </c>
      <c r="D42" s="344"/>
      <c r="E42" s="344"/>
      <c r="F42" s="344"/>
      <c r="G42" s="344"/>
      <c r="H42" s="344"/>
      <c r="I42" s="344"/>
      <c r="J42" s="504"/>
      <c r="K42" s="174" t="s">
        <v>12</v>
      </c>
      <c r="L42" s="577">
        <f>기록부!O23/1000</f>
        <v>0.40899999999999997</v>
      </c>
      <c r="M42" s="412"/>
      <c r="N42" s="412"/>
      <c r="O42" s="412"/>
      <c r="P42" s="412"/>
      <c r="Q42" s="556"/>
      <c r="R42" s="558"/>
    </row>
    <row r="43" spans="1:18" ht="30" customHeight="1">
      <c r="A43" s="29" t="s">
        <v>14</v>
      </c>
      <c r="B43" s="2" t="s">
        <v>125</v>
      </c>
      <c r="C43" s="512" t="s">
        <v>13</v>
      </c>
      <c r="D43" s="344"/>
      <c r="E43" s="344"/>
      <c r="F43" s="344"/>
      <c r="G43" s="344"/>
      <c r="H43" s="344"/>
      <c r="I43" s="344"/>
      <c r="J43" s="504"/>
      <c r="K43" s="174" t="s">
        <v>14</v>
      </c>
      <c r="L43" s="578">
        <f>273+기록부!E24</f>
        <v>291</v>
      </c>
      <c r="M43" s="412"/>
      <c r="N43" s="412"/>
      <c r="O43" s="412"/>
      <c r="P43" s="412"/>
      <c r="Q43" s="556"/>
      <c r="R43" s="558"/>
    </row>
    <row r="44" spans="1:18" ht="30" customHeight="1">
      <c r="A44" s="29" t="s">
        <v>18</v>
      </c>
      <c r="B44" s="2" t="s">
        <v>125</v>
      </c>
      <c r="C44" s="512" t="s">
        <v>17</v>
      </c>
      <c r="D44" s="344"/>
      <c r="E44" s="344"/>
      <c r="F44" s="344"/>
      <c r="G44" s="344"/>
      <c r="H44" s="344"/>
      <c r="I44" s="344"/>
      <c r="J44" s="504"/>
      <c r="K44" s="174" t="s">
        <v>18</v>
      </c>
      <c r="L44" s="579">
        <f>기록부!S6</f>
        <v>760</v>
      </c>
      <c r="M44" s="412"/>
      <c r="N44" s="412"/>
      <c r="O44" s="412"/>
      <c r="P44" s="412"/>
      <c r="Q44" s="556"/>
      <c r="R44" s="558"/>
    </row>
    <row r="45" spans="1:18" ht="30" customHeight="1">
      <c r="A45" s="29" t="s">
        <v>19</v>
      </c>
      <c r="B45" s="2" t="s">
        <v>125</v>
      </c>
      <c r="C45" s="512" t="s">
        <v>304</v>
      </c>
      <c r="D45" s="344"/>
      <c r="E45" s="344"/>
      <c r="F45" s="344"/>
      <c r="G45" s="344"/>
      <c r="H45" s="344"/>
      <c r="I45" s="344"/>
      <c r="J45" s="504"/>
      <c r="K45" s="175" t="s">
        <v>19</v>
      </c>
      <c r="L45" s="552">
        <f>기록부!M24</f>
        <v>10.5336</v>
      </c>
      <c r="M45" s="451"/>
      <c r="N45" s="451"/>
      <c r="O45" s="451"/>
      <c r="P45" s="451"/>
      <c r="Q45" s="556"/>
      <c r="R45" s="558"/>
    </row>
    <row r="46" spans="1:18" ht="30" customHeight="1">
      <c r="A46" s="29" t="s">
        <v>22</v>
      </c>
      <c r="B46" s="2" t="s">
        <v>125</v>
      </c>
      <c r="C46" s="512" t="s">
        <v>21</v>
      </c>
      <c r="D46" s="344"/>
      <c r="E46" s="344"/>
      <c r="F46" s="344"/>
      <c r="G46" s="344"/>
      <c r="H46" s="344"/>
      <c r="I46" s="344"/>
      <c r="J46" s="504"/>
      <c r="K46" s="174" t="s">
        <v>22</v>
      </c>
      <c r="L46" s="553">
        <f>760+(기록부!I24/13.6)</f>
        <v>760.08088235294122</v>
      </c>
      <c r="M46" s="412"/>
      <c r="N46" s="412"/>
      <c r="O46" s="412"/>
      <c r="P46" s="412"/>
      <c r="Q46" s="556"/>
      <c r="R46" s="558"/>
    </row>
    <row r="47" spans="1:18" ht="30" customHeight="1">
      <c r="A47" s="29" t="s">
        <v>27</v>
      </c>
      <c r="B47" s="2" t="s">
        <v>125</v>
      </c>
      <c r="C47" s="512" t="s">
        <v>26</v>
      </c>
      <c r="D47" s="344"/>
      <c r="E47" s="344"/>
      <c r="F47" s="344"/>
      <c r="G47" s="344"/>
      <c r="H47" s="344"/>
      <c r="I47" s="344"/>
      <c r="J47" s="504"/>
      <c r="K47" s="174" t="s">
        <v>27</v>
      </c>
      <c r="L47" s="570">
        <f>기록부!Q23</f>
        <v>40</v>
      </c>
      <c r="M47" s="412"/>
      <c r="N47" s="412"/>
      <c r="O47" s="412"/>
      <c r="P47" s="412"/>
      <c r="Q47" s="556"/>
      <c r="R47" s="558"/>
    </row>
    <row r="48" spans="1:18" ht="30" customHeight="1">
      <c r="A48" s="29" t="s">
        <v>32</v>
      </c>
      <c r="B48" s="2" t="s">
        <v>125</v>
      </c>
      <c r="C48" s="512" t="s">
        <v>31</v>
      </c>
      <c r="D48" s="344"/>
      <c r="E48" s="344"/>
      <c r="F48" s="344"/>
      <c r="G48" s="344"/>
      <c r="H48" s="344"/>
      <c r="I48" s="344"/>
      <c r="J48" s="504"/>
      <c r="K48" s="174" t="s">
        <v>32</v>
      </c>
      <c r="L48" s="550">
        <f>R20</f>
        <v>2.3007857321069629</v>
      </c>
      <c r="M48" s="412"/>
      <c r="N48" s="412"/>
      <c r="O48" s="412"/>
      <c r="P48" s="412"/>
      <c r="Q48" s="556"/>
      <c r="R48" s="558"/>
    </row>
    <row r="49" spans="1:18" ht="30" customHeight="1">
      <c r="A49" s="162" t="s">
        <v>35</v>
      </c>
      <c r="B49" s="156" t="s">
        <v>125</v>
      </c>
      <c r="C49" s="564" t="s">
        <v>305</v>
      </c>
      <c r="D49" s="419"/>
      <c r="E49" s="419"/>
      <c r="F49" s="419"/>
      <c r="G49" s="419"/>
      <c r="H49" s="419"/>
      <c r="I49" s="419"/>
      <c r="J49" s="532"/>
      <c r="K49" s="176" t="s">
        <v>35</v>
      </c>
      <c r="L49" s="560">
        <f>(3.14159265358979*기록부!E8*기록부!E8/4)</f>
        <v>0.92118486646906883</v>
      </c>
      <c r="M49" s="414"/>
      <c r="N49" s="414"/>
      <c r="O49" s="414"/>
      <c r="P49" s="414"/>
      <c r="Q49" s="516"/>
      <c r="R49" s="559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</mergeCells>
  <phoneticPr fontId="53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596" t="s">
        <v>306</v>
      </c>
      <c r="B1" s="461"/>
      <c r="C1" s="597" t="s">
        <v>307</v>
      </c>
      <c r="D1" s="598"/>
      <c r="E1" s="598"/>
      <c r="F1" s="598"/>
      <c r="G1" s="598"/>
      <c r="H1" s="598"/>
      <c r="I1" s="598"/>
      <c r="J1" s="598"/>
      <c r="K1" s="598"/>
      <c r="L1" s="177"/>
      <c r="M1" s="178"/>
      <c r="N1" s="178"/>
      <c r="O1" s="179"/>
      <c r="P1" s="599" t="s">
        <v>308</v>
      </c>
      <c r="Q1" s="598"/>
      <c r="R1" s="598"/>
      <c r="S1" s="598"/>
      <c r="T1" s="180" t="s">
        <v>126</v>
      </c>
      <c r="U1" s="600">
        <f>기록부!T8</f>
        <v>1.25</v>
      </c>
      <c r="V1" s="598"/>
      <c r="W1" s="179" t="s">
        <v>165</v>
      </c>
    </row>
    <row r="2" spans="1:23" ht="16.5" customHeight="1">
      <c r="A2" s="592" t="s">
        <v>308</v>
      </c>
      <c r="B2" s="501"/>
      <c r="C2" s="501"/>
      <c r="D2" s="502"/>
      <c r="E2" s="592" t="s">
        <v>309</v>
      </c>
      <c r="F2" s="502"/>
      <c r="G2" s="592" t="s">
        <v>310</v>
      </c>
      <c r="H2" s="502"/>
      <c r="I2" s="602" t="s">
        <v>311</v>
      </c>
      <c r="J2" s="412"/>
      <c r="K2" s="412"/>
      <c r="L2" s="412"/>
      <c r="M2" s="412"/>
      <c r="N2" s="412"/>
      <c r="O2" s="412"/>
      <c r="P2" s="412"/>
      <c r="Q2" s="412"/>
      <c r="R2" s="412"/>
      <c r="S2" s="412"/>
      <c r="T2" s="412"/>
      <c r="U2" s="412"/>
      <c r="V2" s="412"/>
      <c r="W2" s="410"/>
    </row>
    <row r="3" spans="1:23" ht="16.5" customHeight="1">
      <c r="A3" s="424"/>
      <c r="B3" s="344"/>
      <c r="C3" s="344"/>
      <c r="D3" s="431"/>
      <c r="E3" s="424"/>
      <c r="F3" s="431"/>
      <c r="G3" s="424"/>
      <c r="H3" s="431"/>
      <c r="I3" s="602" t="s">
        <v>312</v>
      </c>
      <c r="J3" s="412"/>
      <c r="K3" s="412"/>
      <c r="L3" s="412"/>
      <c r="M3" s="412"/>
      <c r="N3" s="412"/>
      <c r="O3" s="412"/>
      <c r="P3" s="412"/>
      <c r="Q3" s="412"/>
      <c r="R3" s="412"/>
      <c r="S3" s="412"/>
      <c r="T3" s="412"/>
      <c r="U3" s="412"/>
      <c r="V3" s="412"/>
      <c r="W3" s="410"/>
    </row>
    <row r="4" spans="1:23" ht="16.5" customHeight="1">
      <c r="A4" s="593" t="s">
        <v>313</v>
      </c>
      <c r="B4" s="461"/>
      <c r="C4" s="461"/>
      <c r="D4" s="407"/>
      <c r="E4" s="593" t="s">
        <v>314</v>
      </c>
      <c r="F4" s="407"/>
      <c r="G4" s="593" t="s">
        <v>315</v>
      </c>
      <c r="H4" s="407"/>
      <c r="I4" s="594" t="s">
        <v>118</v>
      </c>
      <c r="J4" s="412"/>
      <c r="K4" s="410"/>
      <c r="L4" s="594" t="s">
        <v>119</v>
      </c>
      <c r="M4" s="412"/>
      <c r="N4" s="410"/>
      <c r="O4" s="594" t="s">
        <v>120</v>
      </c>
      <c r="P4" s="412"/>
      <c r="Q4" s="410"/>
      <c r="R4" s="601" t="s">
        <v>121</v>
      </c>
      <c r="S4" s="412"/>
      <c r="T4" s="410"/>
      <c r="U4" s="594" t="s">
        <v>122</v>
      </c>
      <c r="V4" s="412"/>
      <c r="W4" s="410"/>
    </row>
    <row r="5" spans="1:23" ht="16.5" customHeight="1">
      <c r="A5" s="592" t="s">
        <v>316</v>
      </c>
      <c r="B5" s="501"/>
      <c r="C5" s="501"/>
      <c r="D5" s="502"/>
      <c r="E5" s="595">
        <v>1</v>
      </c>
      <c r="F5" s="502"/>
      <c r="G5" s="592">
        <v>4</v>
      </c>
      <c r="H5" s="502"/>
      <c r="I5" s="591" t="s">
        <v>317</v>
      </c>
      <c r="J5" s="362"/>
      <c r="K5" s="309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2"/>
    </row>
    <row r="6" spans="1:23" ht="16.5" customHeight="1">
      <c r="A6" s="455"/>
      <c r="B6" s="451"/>
      <c r="C6" s="451"/>
      <c r="D6" s="452"/>
      <c r="E6" s="455"/>
      <c r="F6" s="452"/>
      <c r="G6" s="455"/>
      <c r="H6" s="452"/>
      <c r="I6" s="590" t="str">
        <f>IF(U1&gt;1,"",((U1/2)-(0.707*(U1/2))))</f>
        <v/>
      </c>
      <c r="J6" s="461"/>
      <c r="K6" s="407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2"/>
    </row>
    <row r="7" spans="1:23" ht="16.5" customHeight="1">
      <c r="A7" s="592" t="s">
        <v>318</v>
      </c>
      <c r="B7" s="501"/>
      <c r="C7" s="501"/>
      <c r="D7" s="502"/>
      <c r="E7" s="592">
        <v>2</v>
      </c>
      <c r="F7" s="502"/>
      <c r="G7" s="592">
        <v>8</v>
      </c>
      <c r="H7" s="502"/>
      <c r="I7" s="591" t="s">
        <v>319</v>
      </c>
      <c r="J7" s="362"/>
      <c r="K7" s="309"/>
      <c r="L7" s="591" t="s">
        <v>320</v>
      </c>
      <c r="M7" s="362"/>
      <c r="N7" s="309"/>
      <c r="O7" s="181"/>
      <c r="P7" s="181"/>
      <c r="Q7" s="181"/>
      <c r="R7" s="181"/>
      <c r="S7" s="181"/>
      <c r="T7" s="181"/>
      <c r="U7" s="181"/>
      <c r="V7" s="181"/>
      <c r="W7" s="182"/>
    </row>
    <row r="8" spans="1:23" ht="16.5" customHeight="1">
      <c r="A8" s="455"/>
      <c r="B8" s="451"/>
      <c r="C8" s="451"/>
      <c r="D8" s="452"/>
      <c r="E8" s="455"/>
      <c r="F8" s="452"/>
      <c r="G8" s="455"/>
      <c r="H8" s="452"/>
      <c r="I8" s="590">
        <f>IF(AND(U1&gt;1,U1&lt;=2),((U1/2)-(0.5*(U1/2))),"")</f>
        <v>0.3125</v>
      </c>
      <c r="J8" s="461"/>
      <c r="K8" s="407"/>
      <c r="L8" s="590">
        <f>IF(AND(U1&gt;1,U1&lt;=2),((U1/2)-(0.866*(U1/2))),"")</f>
        <v>8.3749999999999991E-2</v>
      </c>
      <c r="M8" s="461"/>
      <c r="N8" s="407"/>
      <c r="O8" s="181"/>
      <c r="P8" s="181"/>
      <c r="Q8" s="181"/>
      <c r="R8" s="181"/>
      <c r="S8" s="181"/>
      <c r="T8" s="181"/>
      <c r="U8" s="181"/>
      <c r="V8" s="181"/>
      <c r="W8" s="182"/>
    </row>
    <row r="9" spans="1:23" ht="16.5" customHeight="1">
      <c r="A9" s="592" t="s">
        <v>321</v>
      </c>
      <c r="B9" s="501"/>
      <c r="C9" s="501"/>
      <c r="D9" s="502"/>
      <c r="E9" s="592">
        <v>3</v>
      </c>
      <c r="F9" s="502"/>
      <c r="G9" s="592">
        <v>12</v>
      </c>
      <c r="H9" s="502"/>
      <c r="I9" s="591" t="s">
        <v>322</v>
      </c>
      <c r="J9" s="362"/>
      <c r="K9" s="309"/>
      <c r="L9" s="591" t="s">
        <v>317</v>
      </c>
      <c r="M9" s="362"/>
      <c r="N9" s="309"/>
      <c r="O9" s="591" t="s">
        <v>323</v>
      </c>
      <c r="P9" s="362"/>
      <c r="Q9" s="309"/>
      <c r="R9" s="181"/>
      <c r="S9" s="181"/>
      <c r="T9" s="181"/>
      <c r="U9" s="181"/>
      <c r="V9" s="181"/>
      <c r="W9" s="182"/>
    </row>
    <row r="10" spans="1:23" ht="16.5" customHeight="1">
      <c r="A10" s="455"/>
      <c r="B10" s="451"/>
      <c r="C10" s="451"/>
      <c r="D10" s="452"/>
      <c r="E10" s="455"/>
      <c r="F10" s="452"/>
      <c r="G10" s="455"/>
      <c r="H10" s="452"/>
      <c r="I10" s="590" t="str">
        <f>IF(AND(U1&gt;2,U1&lt;=4),((U1/2)-(0.408*(U1/2))),"")</f>
        <v/>
      </c>
      <c r="J10" s="461"/>
      <c r="K10" s="407"/>
      <c r="L10" s="590" t="str">
        <f>IF(AND(U1&gt;2,U1&lt;=4),((U1/2)-(0.707*(U1/2))),"")</f>
        <v/>
      </c>
      <c r="M10" s="461"/>
      <c r="N10" s="407"/>
      <c r="O10" s="590" t="str">
        <f>IF(AND(U1&gt;2,U1&lt;=4),((U1/2)-(0.913*(U1/2))),"")</f>
        <v/>
      </c>
      <c r="P10" s="461"/>
      <c r="Q10" s="407"/>
      <c r="R10" s="181"/>
      <c r="S10" s="181"/>
      <c r="T10" s="181"/>
      <c r="U10" s="181"/>
      <c r="V10" s="181"/>
      <c r="W10" s="182"/>
    </row>
    <row r="11" spans="1:23" ht="16.5" customHeight="1">
      <c r="A11" s="592" t="s">
        <v>324</v>
      </c>
      <c r="B11" s="501"/>
      <c r="C11" s="501"/>
      <c r="D11" s="502"/>
      <c r="E11" s="592">
        <v>4</v>
      </c>
      <c r="F11" s="502"/>
      <c r="G11" s="592">
        <v>16</v>
      </c>
      <c r="H11" s="502"/>
      <c r="I11" s="591" t="s">
        <v>325</v>
      </c>
      <c r="J11" s="362"/>
      <c r="K11" s="309"/>
      <c r="L11" s="591" t="s">
        <v>326</v>
      </c>
      <c r="M11" s="362"/>
      <c r="N11" s="309"/>
      <c r="O11" s="591" t="s">
        <v>327</v>
      </c>
      <c r="P11" s="362"/>
      <c r="Q11" s="309"/>
      <c r="R11" s="591" t="s">
        <v>328</v>
      </c>
      <c r="S11" s="362"/>
      <c r="T11" s="309"/>
      <c r="U11" s="181"/>
      <c r="V11" s="181"/>
      <c r="W11" s="182"/>
    </row>
    <row r="12" spans="1:23" ht="16.5" customHeight="1">
      <c r="A12" s="455"/>
      <c r="B12" s="451"/>
      <c r="C12" s="451"/>
      <c r="D12" s="452"/>
      <c r="E12" s="455"/>
      <c r="F12" s="452"/>
      <c r="G12" s="455"/>
      <c r="H12" s="452"/>
      <c r="I12" s="590" t="str">
        <f>IF(AND(U1&gt;4,U1&lt;=4.5),((U1/2)-(0.354*(U1/2))),"")</f>
        <v/>
      </c>
      <c r="J12" s="461"/>
      <c r="K12" s="407"/>
      <c r="L12" s="590" t="str">
        <f>IF(AND(U1&gt;4,U1&lt;=4.5),((U1/2)-(0.612*(U1/2))),"")</f>
        <v/>
      </c>
      <c r="M12" s="461"/>
      <c r="N12" s="407"/>
      <c r="O12" s="590" t="str">
        <f>IF(AND(U1&gt;4,U1&lt;=4.5),((U1/2)-(0.791*(U1/2))),"")</f>
        <v/>
      </c>
      <c r="P12" s="461"/>
      <c r="Q12" s="407"/>
      <c r="R12" s="590" t="str">
        <f>IF(AND(U1&gt;4,U1&lt;=4.5),((U1/2)-(0.935*(U1/2))),"")</f>
        <v/>
      </c>
      <c r="S12" s="461"/>
      <c r="T12" s="407"/>
      <c r="U12" s="181"/>
      <c r="V12" s="181"/>
      <c r="W12" s="182"/>
    </row>
    <row r="13" spans="1:23" ht="16.5" customHeight="1">
      <c r="A13" s="592" t="s">
        <v>329</v>
      </c>
      <c r="B13" s="501"/>
      <c r="C13" s="501"/>
      <c r="D13" s="502"/>
      <c r="E13" s="592">
        <v>5</v>
      </c>
      <c r="F13" s="502"/>
      <c r="G13" s="592">
        <v>20</v>
      </c>
      <c r="H13" s="502"/>
      <c r="I13" s="591" t="s">
        <v>330</v>
      </c>
      <c r="J13" s="362"/>
      <c r="K13" s="309"/>
      <c r="L13" s="591" t="s">
        <v>331</v>
      </c>
      <c r="M13" s="362"/>
      <c r="N13" s="309"/>
      <c r="O13" s="591" t="s">
        <v>317</v>
      </c>
      <c r="P13" s="362"/>
      <c r="Q13" s="309"/>
      <c r="R13" s="591" t="s">
        <v>332</v>
      </c>
      <c r="S13" s="362"/>
      <c r="T13" s="362"/>
      <c r="U13" s="591" t="s">
        <v>333</v>
      </c>
      <c r="V13" s="362"/>
      <c r="W13" s="309"/>
    </row>
    <row r="14" spans="1:23" ht="16.5" customHeight="1">
      <c r="A14" s="455"/>
      <c r="B14" s="451"/>
      <c r="C14" s="451"/>
      <c r="D14" s="452"/>
      <c r="E14" s="455"/>
      <c r="F14" s="452"/>
      <c r="G14" s="455"/>
      <c r="H14" s="452"/>
      <c r="I14" s="590" t="str">
        <f>IF(U1&lt;=4.5,"",((U1/2)-(0.316*(U1/2))))</f>
        <v/>
      </c>
      <c r="J14" s="461"/>
      <c r="K14" s="407"/>
      <c r="L14" s="590" t="str">
        <f>IF(U1&lt;=4.5,"",((U1/2)-(0.548*(U1/2))))</f>
        <v/>
      </c>
      <c r="M14" s="461"/>
      <c r="N14" s="407"/>
      <c r="O14" s="590" t="str">
        <f>IF(U1&lt;=4.5,"",((U1/2)-(0.707*(U1/2))))</f>
        <v/>
      </c>
      <c r="P14" s="461"/>
      <c r="Q14" s="407"/>
      <c r="R14" s="590" t="str">
        <f>IF(U1&lt;=4.5,"",((U1/2)-(0.837*(U1/2))))</f>
        <v/>
      </c>
      <c r="S14" s="461"/>
      <c r="T14" s="461"/>
      <c r="U14" s="590" t="str">
        <f>IF(U1&lt;=4.5,"",((U1/2)-(0.949*(U1/2))))</f>
        <v/>
      </c>
      <c r="V14" s="461"/>
      <c r="W14" s="407"/>
    </row>
    <row r="15" spans="1:23" ht="16.5" customHeight="1">
      <c r="A15" s="183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</row>
    <row r="16" spans="1:23" ht="16.5" customHeight="1">
      <c r="A16" s="183"/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</row>
    <row r="17" spans="1:23" ht="16.5" customHeight="1">
      <c r="A17" s="183"/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</row>
    <row r="18" spans="1:23" ht="16.5" customHeight="1">
      <c r="A18" s="183"/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</row>
    <row r="19" spans="1:23" ht="16.5" customHeight="1">
      <c r="A19" s="183"/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</row>
    <row r="20" spans="1:23" ht="16.5" customHeight="1">
      <c r="A20" s="183"/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</row>
    <row r="21" spans="1:23" ht="16.5" customHeight="1">
      <c r="A21" s="183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</row>
    <row r="22" spans="1:23" ht="16.5" customHeight="1">
      <c r="A22" s="183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</row>
    <row r="23" spans="1:23" ht="16.5" customHeight="1">
      <c r="A23" s="183"/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</row>
    <row r="24" spans="1:23" ht="16.5" customHeight="1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</row>
    <row r="25" spans="1:23" ht="16.5" customHeight="1">
      <c r="A25" s="183"/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</row>
    <row r="26" spans="1:23" ht="16.5" customHeight="1">
      <c r="A26" s="183"/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</row>
    <row r="27" spans="1:23" ht="16.5" customHeight="1">
      <c r="A27" s="183"/>
      <c r="B27" s="183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</row>
    <row r="28" spans="1:23" ht="16.5" customHeight="1">
      <c r="A28" s="183"/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</row>
    <row r="29" spans="1:23" ht="16.5" customHeight="1">
      <c r="A29" s="183"/>
      <c r="B29" s="183"/>
      <c r="C29" s="183"/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</row>
    <row r="30" spans="1:23" ht="16.5" customHeight="1">
      <c r="A30" s="183"/>
      <c r="B30" s="183"/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</row>
    <row r="31" spans="1:23" ht="16.5" customHeight="1">
      <c r="A31" s="183"/>
      <c r="B31" s="183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</row>
    <row r="32" spans="1:23" ht="16.5" customHeight="1">
      <c r="A32" s="183"/>
      <c r="B32" s="183"/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</row>
    <row r="33" spans="1:23" ht="16.5" customHeight="1">
      <c r="A33" s="183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</row>
    <row r="34" spans="1:23" ht="16.5" customHeight="1">
      <c r="A34" s="183"/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</row>
    <row r="35" spans="1:23" ht="16.5" customHeight="1">
      <c r="A35" s="183"/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</row>
    <row r="36" spans="1:23" ht="16.5" customHeight="1">
      <c r="A36" s="183"/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</row>
    <row r="37" spans="1:23" ht="16.5" customHeight="1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</row>
    <row r="38" spans="1:23" ht="16.5" customHeight="1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</row>
    <row r="39" spans="1:23" ht="16.5" customHeight="1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</row>
    <row r="40" spans="1:23" ht="16.5" customHeight="1">
      <c r="A40" s="183"/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</row>
    <row r="41" spans="1:23" ht="16.5" customHeight="1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</row>
    <row r="42" spans="1:23" ht="16.5" customHeight="1">
      <c r="A42" s="183"/>
      <c r="B42" s="183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</row>
    <row r="43" spans="1:23" ht="16.5" customHeight="1">
      <c r="A43" s="183"/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</row>
    <row r="44" spans="1:23" ht="16.5" customHeight="1">
      <c r="A44" s="183"/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</row>
    <row r="45" spans="1:23" ht="16.5" customHeight="1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</row>
    <row r="46" spans="1:23" ht="16.5" customHeight="1">
      <c r="A46" s="183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</row>
    <row r="47" spans="1:23" ht="16.5" customHeight="1">
      <c r="A47" s="183"/>
      <c r="B47" s="183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</row>
    <row r="48" spans="1:23" ht="16.5" customHeight="1">
      <c r="A48" s="183"/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</row>
    <row r="49" spans="1:23" ht="16.5" customHeight="1">
      <c r="A49" s="183"/>
      <c r="B49" s="183"/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</row>
    <row r="50" spans="1:23" ht="16.5" customHeight="1">
      <c r="A50" s="183"/>
      <c r="B50" s="183"/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</row>
    <row r="51" spans="1:23" ht="16.5" customHeight="1">
      <c r="A51" s="183"/>
      <c r="B51" s="183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</row>
    <row r="52" spans="1:23" ht="16.5" customHeight="1">
      <c r="A52" s="183"/>
      <c r="B52" s="183"/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</row>
    <row r="53" spans="1:23" ht="16.5" customHeight="1">
      <c r="A53" s="183"/>
      <c r="B53" s="183"/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</row>
    <row r="54" spans="1:23" ht="16.5" customHeight="1">
      <c r="A54" s="183"/>
      <c r="B54" s="183"/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</row>
    <row r="55" spans="1:23" ht="16.5" customHeight="1">
      <c r="A55" s="183"/>
      <c r="B55" s="183"/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</row>
    <row r="56" spans="1:23" ht="16.5" customHeight="1">
      <c r="A56" s="183"/>
      <c r="B56" s="183"/>
      <c r="C56" s="183"/>
      <c r="D56" s="183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</row>
    <row r="57" spans="1:23" ht="16.5" customHeight="1">
      <c r="A57" s="183"/>
      <c r="B57" s="183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</row>
    <row r="58" spans="1:23" ht="16.5" customHeight="1">
      <c r="A58" s="183"/>
      <c r="B58" s="183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</row>
    <row r="59" spans="1:23" ht="16.5" customHeight="1">
      <c r="A59" s="183"/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</row>
    <row r="60" spans="1:23" ht="16.5" customHeight="1">
      <c r="A60" s="183"/>
      <c r="B60" s="183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</row>
    <row r="61" spans="1:23" ht="16.5" customHeight="1">
      <c r="A61" s="183"/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</row>
    <row r="62" spans="1:23" ht="16.5" customHeight="1">
      <c r="A62" s="183"/>
      <c r="B62" s="183"/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</row>
    <row r="63" spans="1:23" ht="16.5" customHeight="1">
      <c r="A63" s="183"/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</row>
    <row r="64" spans="1:23" ht="16.5" customHeight="1">
      <c r="A64" s="183"/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</row>
    <row r="65" spans="1:23" ht="16.5" customHeight="1">
      <c r="A65" s="183"/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</row>
    <row r="66" spans="1:23" ht="16.5" customHeight="1">
      <c r="A66" s="183"/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</row>
    <row r="67" spans="1:23" ht="16.5" customHeight="1">
      <c r="A67" s="183"/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</row>
    <row r="68" spans="1:23" ht="16.5" customHeight="1">
      <c r="A68" s="183"/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</row>
    <row r="69" spans="1:23" ht="16.5" customHeight="1">
      <c r="A69" s="183"/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</row>
    <row r="70" spans="1:23" ht="16.5" customHeight="1">
      <c r="A70" s="183"/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</row>
    <row r="71" spans="1:23" ht="16.5" customHeight="1">
      <c r="A71" s="183"/>
      <c r="B71" s="183"/>
      <c r="C71" s="183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</row>
    <row r="72" spans="1:23" ht="16.5" customHeight="1">
      <c r="A72" s="183"/>
      <c r="B72" s="183"/>
      <c r="C72" s="183"/>
      <c r="D72" s="183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</row>
    <row r="73" spans="1:23" ht="16.5" customHeight="1">
      <c r="A73" s="183"/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</row>
    <row r="74" spans="1:23" ht="16.5" customHeight="1">
      <c r="A74" s="183"/>
      <c r="B74" s="183"/>
      <c r="C74" s="183"/>
      <c r="D74" s="183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</row>
    <row r="75" spans="1:23" ht="16.5" customHeight="1">
      <c r="A75" s="183"/>
      <c r="B75" s="183"/>
      <c r="C75" s="183"/>
      <c r="D75" s="183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</row>
    <row r="76" spans="1:23" ht="16.5" customHeight="1">
      <c r="A76" s="183"/>
      <c r="B76" s="183"/>
      <c r="C76" s="183"/>
      <c r="D76" s="183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</row>
    <row r="77" spans="1:23" ht="16.5" customHeight="1">
      <c r="A77" s="183"/>
      <c r="B77" s="183"/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</row>
    <row r="78" spans="1:23" ht="16.5" customHeight="1">
      <c r="A78" s="183"/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</row>
    <row r="79" spans="1:23" ht="16.5" customHeight="1">
      <c r="A79" s="183"/>
      <c r="B79" s="183"/>
      <c r="C79" s="183"/>
      <c r="D79" s="183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</row>
    <row r="80" spans="1:23" ht="16.5" customHeight="1">
      <c r="A80" s="183"/>
      <c r="B80" s="183"/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</row>
    <row r="81" spans="1:23" ht="16.5" customHeight="1">
      <c r="A81" s="183"/>
      <c r="B81" s="183"/>
      <c r="C81" s="183"/>
      <c r="D81" s="183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</row>
    <row r="82" spans="1:23" ht="16.5" customHeight="1">
      <c r="A82" s="183"/>
      <c r="B82" s="183"/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</row>
    <row r="83" spans="1:23" ht="16.5" customHeight="1">
      <c r="A83" s="183"/>
      <c r="B83" s="183"/>
      <c r="C83" s="183"/>
      <c r="D83" s="183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</row>
    <row r="84" spans="1:23" ht="16.5" customHeight="1">
      <c r="A84" s="183"/>
      <c r="B84" s="183"/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</row>
    <row r="85" spans="1:23" ht="16.5" customHeight="1">
      <c r="A85" s="183"/>
      <c r="B85" s="183"/>
      <c r="C85" s="183"/>
      <c r="D85" s="183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</row>
    <row r="86" spans="1:23" ht="16.5" customHeight="1">
      <c r="A86" s="183"/>
      <c r="B86" s="183"/>
      <c r="C86" s="183"/>
      <c r="D86" s="183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</row>
    <row r="87" spans="1:23" ht="16.5" customHeight="1">
      <c r="A87" s="183"/>
      <c r="B87" s="183"/>
      <c r="C87" s="183"/>
      <c r="D87" s="183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</row>
    <row r="88" spans="1:23" ht="16.5" customHeight="1">
      <c r="A88" s="183"/>
      <c r="B88" s="183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</row>
    <row r="89" spans="1:23" ht="16.5" customHeight="1">
      <c r="A89" s="183"/>
      <c r="B89" s="183"/>
      <c r="C89" s="183"/>
      <c r="D89" s="183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</row>
    <row r="90" spans="1:23" ht="16.5" customHeight="1">
      <c r="A90" s="183"/>
      <c r="B90" s="183"/>
      <c r="C90" s="183"/>
      <c r="D90" s="183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</row>
    <row r="91" spans="1:23" ht="16.5" customHeight="1">
      <c r="A91" s="183"/>
      <c r="B91" s="183"/>
      <c r="C91" s="183"/>
      <c r="D91" s="183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</row>
    <row r="92" spans="1:23" ht="16.5" customHeight="1">
      <c r="A92" s="183"/>
      <c r="B92" s="183"/>
      <c r="C92" s="183"/>
      <c r="D92" s="183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</row>
    <row r="93" spans="1:23" ht="16.5" customHeight="1">
      <c r="A93" s="183"/>
      <c r="B93" s="183"/>
      <c r="C93" s="183"/>
      <c r="D93" s="183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</row>
    <row r="94" spans="1:23" ht="16.5" customHeight="1">
      <c r="A94" s="183"/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</row>
    <row r="95" spans="1:23" ht="16.5" customHeight="1">
      <c r="A95" s="183"/>
      <c r="B95" s="183"/>
      <c r="C95" s="183"/>
      <c r="D95" s="183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</row>
    <row r="96" spans="1:23" ht="16.5" customHeight="1">
      <c r="A96" s="183"/>
      <c r="B96" s="183"/>
      <c r="C96" s="183"/>
      <c r="D96" s="183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</row>
    <row r="97" spans="1:23" ht="16.5" customHeight="1">
      <c r="A97" s="183"/>
      <c r="B97" s="183"/>
      <c r="C97" s="183"/>
      <c r="D97" s="183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</row>
    <row r="98" spans="1:23" ht="16.5" customHeight="1">
      <c r="A98" s="183"/>
      <c r="B98" s="183"/>
      <c r="C98" s="183"/>
      <c r="D98" s="183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</row>
    <row r="99" spans="1:23" ht="16.5" customHeight="1">
      <c r="A99" s="183"/>
      <c r="B99" s="183"/>
      <c r="C99" s="183"/>
      <c r="D99" s="183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</row>
    <row r="100" spans="1:23" ht="16.5" customHeight="1">
      <c r="A100" s="183"/>
      <c r="B100" s="183"/>
      <c r="C100" s="183"/>
      <c r="D100" s="183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</row>
  </sheetData>
  <mergeCells count="62">
    <mergeCell ref="A9:D10"/>
    <mergeCell ref="E9:F10"/>
    <mergeCell ref="A13:D14"/>
    <mergeCell ref="E13:F14"/>
    <mergeCell ref="A11:D12"/>
    <mergeCell ref="E11:F12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7:D8"/>
    <mergeCell ref="A5:D6"/>
    <mergeCell ref="G5:H6"/>
    <mergeCell ref="I5:K5"/>
    <mergeCell ref="I8:K8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</mergeCells>
  <phoneticPr fontId="53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</vt:i4>
      </vt:variant>
    </vt:vector>
  </HeadingPairs>
  <TitlesOfParts>
    <vt:vector size="9" baseType="lpstr">
      <vt:lpstr>기록지(먼지)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기록지01</vt:lpstr>
      <vt:lpstr>기록지02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2026-09-04T06:09:29Z</dcterms:modified>
  <cp:version>1100.0100.01</cp:version>
</cp:coreProperties>
</file>