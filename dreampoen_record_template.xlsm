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updateLinks="never" codeName="현재_통합_문서" checkCompatibility="1"/>
  <bookViews>
    <workbookView xWindow="-2955" yWindow="-120" windowWidth="21075" windowHeight="11925" tabRatio="709"/>
  </bookViews>
  <sheets>
    <sheet name="기록지(먼지)" sheetId="1" r:id="rId1"/>
    <sheet name="등속계산" sheetId="3" r:id="rId2"/>
    <sheet name="기록지 양식(성적서용)" sheetId="8" state="hidden" r:id="rId3"/>
    <sheet name="연소가스" sheetId="9" state="hidden" r:id="rId4"/>
    <sheet name="기록부" sheetId="12" state="hidden" r:id="rId5"/>
    <sheet name="계산식" sheetId="13" state="hidden" r:id="rId6"/>
    <sheet name="측정점" sheetId="14" state="hidden" r:id="rId7"/>
  </sheets>
  <externalReferences>
    <externalReference r:id="rId8"/>
    <externalReference r:id="rId9"/>
  </externalReferences>
  <definedNames>
    <definedName name="_1Circ_Stac" localSheetId="2">#REF!</definedName>
    <definedName name="_3Rect_Stac" localSheetId="2">#REF!</definedName>
    <definedName name="Base_Run_Number" localSheetId="2">#REF!</definedName>
    <definedName name="Date" localSheetId="2">#REF!</definedName>
    <definedName name="Impinger_Case_ID" localSheetId="2">#REF!</definedName>
    <definedName name="Liner_Material" localSheetId="2">#REF!</definedName>
    <definedName name="M5R1_Bws" localSheetId="2">#REF!</definedName>
    <definedName name="M5R1_Cp" localSheetId="2">#REF!</definedName>
    <definedName name="M5R1_DHat" localSheetId="2">#REF!</definedName>
    <definedName name="M5R1_Dna" localSheetId="2">#REF!</definedName>
    <definedName name="M5R1_DPavgest" localSheetId="2">#REF!</definedName>
    <definedName name="M5R1_K" localSheetId="2">#REF!</definedName>
    <definedName name="M5R1_Mds" localSheetId="2">#REF!</definedName>
    <definedName name="M5R1_Pb" localSheetId="2">#REF!</definedName>
    <definedName name="M5R1_Pm" localSheetId="2">#REF!</definedName>
    <definedName name="M5R1_Ps" localSheetId="2">#REF!</definedName>
    <definedName name="M5R1_Pstatic" localSheetId="2">#REF!</definedName>
    <definedName name="M5R1_Qm" localSheetId="2">#REF!</definedName>
    <definedName name="M5R1_tm" localSheetId="2">#REF!</definedName>
    <definedName name="M5R1_ts" localSheetId="2">#REF!</definedName>
    <definedName name="M5R1_Y" localSheetId="2">#REF!</definedName>
    <definedName name="Meter_Cal_Factor" localSheetId="2">#REF!</definedName>
    <definedName name="Meter_ID" localSheetId="2">#REF!</definedName>
    <definedName name="Nozzle_Diam" localSheetId="2">#REF!</definedName>
    <definedName name="Nozzle_ID" localSheetId="2">#REF!</definedName>
    <definedName name="Operator" localSheetId="2">#REF!</definedName>
    <definedName name="Orifice_Coefficient_dHat" localSheetId="2">#REF!</definedName>
    <definedName name="Pitot_Coefficient" localSheetId="2">#REF!</definedName>
    <definedName name="Plant_Name" localSheetId="2">#REF!</definedName>
    <definedName name="_xlnm.Print_Area" localSheetId="0">'기록지(먼지)'!$E$1:$R$50</definedName>
    <definedName name="_xlnm.Print_Area" localSheetId="1">등속계산!$A$1:$W$57</definedName>
    <definedName name="Probe_ID" localSheetId="2">#REF!</definedName>
    <definedName name="Probe_Length" localSheetId="2">#REF!</definedName>
    <definedName name="Project_Num" localSheetId="2">#REF!</definedName>
    <definedName name="Sample_Case_ID" localSheetId="2">#REF!</definedName>
    <definedName name="Sampling_Location" localSheetId="2">#REF!</definedName>
    <definedName name="가동방식" localSheetId="2">#REF!</definedName>
    <definedName name="건조로" localSheetId="2">#REF!</definedName>
    <definedName name="고정상방식" localSheetId="2">#REF!</definedName>
    <definedName name="고정화격자" localSheetId="2">#REF!</definedName>
    <definedName name="기록지01">'기록지(먼지)'!$F$42:$K$50</definedName>
    <definedName name="기록지02">'기록지(먼지)'!$M$42:$R$50</definedName>
    <definedName name="도가니로" localSheetId="2">#REF!</definedName>
    <definedName name="동" localSheetId="2">#REF!</definedName>
    <definedName name="로타리킬른" localSheetId="2">#REF!</definedName>
    <definedName name="반사로" localSheetId="2">#REF!</definedName>
    <definedName name="배소로" localSheetId="2">#REF!</definedName>
    <definedName name="배출량" localSheetId="2">#REF!</definedName>
    <definedName name="보정" localSheetId="2">#REF!</definedName>
    <definedName name="보정여부" localSheetId="2">#REF!</definedName>
    <definedName name="분무연속방식" localSheetId="2">#REF!</definedName>
    <definedName name="비소각시설" localSheetId="2">#REF!</definedName>
    <definedName name="사업장일반" localSheetId="2">#REF!</definedName>
    <definedName name="사업장일반1" localSheetId="2">#REF!</definedName>
    <definedName name="생활" localSheetId="2">#REF!</definedName>
    <definedName name="성적서">#REF!</definedName>
    <definedName name="소각시설" localSheetId="2">#REF!</definedName>
    <definedName name="소결로" localSheetId="2">#REF!</definedName>
    <definedName name="소성로" localSheetId="2">#REF!</definedName>
    <definedName name="시멘트" localSheetId="2">#REF!</definedName>
    <definedName name="알루미늄" localSheetId="2">#REF!</definedName>
    <definedName name="용융용해로" localSheetId="2">#REF!</definedName>
    <definedName name="유동상" localSheetId="2">#REF!</definedName>
    <definedName name="의료" localSheetId="2">#REF!</definedName>
    <definedName name="이동상방식" localSheetId="2">#REF!</definedName>
    <definedName name="이동화격자" localSheetId="2">#REF!</definedName>
    <definedName name="인자">등속계산!$AE$1:$AG$57</definedName>
    <definedName name="전기아크로" localSheetId="2">#REF!</definedName>
    <definedName name="전로" localSheetId="2">#REF!</definedName>
    <definedName name="전해로" localSheetId="2">#REF!</definedName>
    <definedName name="정련로" localSheetId="2">#REF!</definedName>
    <definedName name="지정" localSheetId="2">#REF!</definedName>
    <definedName name="해당권역" localSheetId="2">#REF!</definedName>
    <definedName name="회전상방식" localSheetId="2">#REF!</definedName>
  </definedNames>
  <calcPr calcId="144525"/>
</workbook>
</file>

<file path=xl/calcChain.xml><?xml version="1.0" encoding="utf-8"?>
<calcChain xmlns="http://schemas.openxmlformats.org/spreadsheetml/2006/main">
  <c r="G26" i="1" l="1"/>
  <c r="K7" i="1" l="1"/>
  <c r="P26" i="1" l="1"/>
  <c r="I29" i="1" l="1"/>
  <c r="I12" i="14" l="1"/>
  <c r="L10" i="14"/>
  <c r="I10" i="14"/>
  <c r="U1" i="14"/>
  <c r="O12" i="14" s="1"/>
  <c r="L49" i="13"/>
  <c r="L47" i="13"/>
  <c r="L44" i="13"/>
  <c r="L42" i="13"/>
  <c r="L32" i="13"/>
  <c r="L27" i="13"/>
  <c r="L24" i="13"/>
  <c r="L19" i="13"/>
  <c r="L18" i="13"/>
  <c r="L17" i="13"/>
  <c r="L11" i="13"/>
  <c r="L10" i="13"/>
  <c r="L9" i="13"/>
  <c r="L8" i="13"/>
  <c r="P7" i="13"/>
  <c r="R1" i="13" s="1"/>
  <c r="AG30" i="12"/>
  <c r="AG29" i="12"/>
  <c r="AG28" i="12"/>
  <c r="AG27" i="12"/>
  <c r="U27" i="12"/>
  <c r="Q27" i="12"/>
  <c r="S24" i="12"/>
  <c r="K24" i="12"/>
  <c r="L26" i="13" s="1"/>
  <c r="I24" i="12"/>
  <c r="L46" i="13" s="1"/>
  <c r="C24" i="12"/>
  <c r="L40" i="13" s="1"/>
  <c r="Q23" i="12"/>
  <c r="O23" i="12"/>
  <c r="G23" i="12"/>
  <c r="E24" i="12" s="1"/>
  <c r="E23" i="12"/>
  <c r="AA20" i="12"/>
  <c r="AA14" i="12"/>
  <c r="Y14" i="12"/>
  <c r="AH12" i="12"/>
  <c r="AH9" i="12"/>
  <c r="AH7" i="12"/>
  <c r="V7" i="12"/>
  <c r="AH6" i="12"/>
  <c r="AH5" i="12"/>
  <c r="F6" i="9"/>
  <c r="E6" i="9"/>
  <c r="D6" i="9"/>
  <c r="C6" i="9"/>
  <c r="B6" i="9"/>
  <c r="F5" i="9"/>
  <c r="E5" i="9"/>
  <c r="D5" i="9"/>
  <c r="C5" i="9"/>
  <c r="B5" i="9"/>
  <c r="F4" i="9"/>
  <c r="E4" i="9"/>
  <c r="D4" i="9"/>
  <c r="C4" i="9"/>
  <c r="B4" i="9"/>
  <c r="A2" i="9"/>
  <c r="D2" i="3"/>
  <c r="R20" i="13" l="1"/>
  <c r="L48" i="13" s="1"/>
  <c r="R28" i="13"/>
  <c r="L41" i="13" s="1"/>
  <c r="L16" i="13"/>
  <c r="L33" i="13"/>
  <c r="E13" i="12"/>
  <c r="L43" i="13"/>
  <c r="K12" i="12"/>
  <c r="R12" i="14"/>
  <c r="I14" i="14"/>
  <c r="L14" i="14"/>
  <c r="K13" i="12"/>
  <c r="I6" i="14"/>
  <c r="O14" i="14"/>
  <c r="K14" i="12"/>
  <c r="I8" i="14"/>
  <c r="R14" i="14"/>
  <c r="L8" i="14"/>
  <c r="K11" i="12" s="1"/>
  <c r="U14" i="14"/>
  <c r="AF23" i="12"/>
  <c r="M19" i="12" s="1"/>
  <c r="AG23" i="12"/>
  <c r="M20" i="12" s="1"/>
  <c r="K10" i="12"/>
  <c r="O10" i="14"/>
  <c r="AH10" i="12"/>
  <c r="C7" i="12" s="1"/>
  <c r="L12" i="14"/>
  <c r="K19" i="1" l="1"/>
  <c r="AE23" i="12"/>
  <c r="M18" i="12" s="1"/>
  <c r="AH23" i="12"/>
  <c r="M21" i="12" s="1"/>
  <c r="AI23" i="12"/>
  <c r="M22" i="12" s="1"/>
  <c r="K18" i="1" l="1"/>
  <c r="M18" i="1" s="1"/>
  <c r="K17" i="1"/>
  <c r="M17" i="1" s="1"/>
  <c r="M19" i="1"/>
  <c r="K20" i="1"/>
  <c r="M20" i="1" s="1"/>
  <c r="M24" i="12"/>
  <c r="L45" i="13" s="1"/>
  <c r="R34" i="13" s="1"/>
  <c r="F12" i="12" s="1"/>
  <c r="K16" i="1" l="1"/>
  <c r="M16" i="1" l="1"/>
  <c r="U57" i="3" l="1"/>
  <c r="L25" i="1" l="1"/>
</calcChain>
</file>

<file path=xl/comments1.xml><?xml version="1.0" encoding="utf-8"?>
<comments xmlns="http://schemas.openxmlformats.org/spreadsheetml/2006/main">
  <authors>
    <author>user</author>
  </authors>
  <commentList>
    <comment ref="E7" authorId="0">
      <text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항목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포함시</t>
        </r>
        <r>
          <rPr>
            <b/>
            <sz val="15"/>
            <color indexed="81"/>
            <rFont val="Tahoma"/>
            <family val="2"/>
          </rPr>
          <t xml:space="preserve">,
</t>
        </r>
        <r>
          <rPr>
            <b/>
            <sz val="15"/>
            <color indexed="81"/>
            <rFont val="돋움"/>
            <family val="3"/>
            <charset val="129"/>
          </rPr>
          <t>기록지</t>
        </r>
        <r>
          <rPr>
            <b/>
            <sz val="15"/>
            <color indexed="81"/>
            <rFont val="Tahoma"/>
            <family val="2"/>
          </rPr>
          <t>(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) - </t>
        </r>
        <r>
          <rPr>
            <b/>
            <sz val="15"/>
            <color indexed="81"/>
            <rFont val="돋움"/>
            <family val="3"/>
            <charset val="129"/>
          </rPr>
          <t>총채취시간</t>
        </r>
        <r>
          <rPr>
            <b/>
            <sz val="15"/>
            <color indexed="81"/>
            <rFont val="Tahoma"/>
            <family val="2"/>
          </rPr>
          <t xml:space="preserve"> : 
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 + </t>
        </r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시간으로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작성</t>
        </r>
        <r>
          <rPr>
            <b/>
            <sz val="15"/>
            <color indexed="81"/>
            <rFont val="Tahoma"/>
            <family val="2"/>
          </rPr>
          <t xml:space="preserve">!
</t>
        </r>
      </text>
    </comment>
  </commentList>
</comments>
</file>

<file path=xl/sharedStrings.xml><?xml version="1.0" encoding="utf-8"?>
<sst xmlns="http://schemas.openxmlformats.org/spreadsheetml/2006/main" count="765" uniqueCount="450">
  <si>
    <t>측 정 번 호</t>
  </si>
  <si>
    <t>대 기 시 료 채 취 기 록 지</t>
  </si>
  <si>
    <t>측 정 날 짜</t>
  </si>
  <si>
    <t>업    체    명</t>
  </si>
  <si>
    <t>측 정 대 행 기 관</t>
  </si>
  <si>
    <t>배출가스 평균 절대온도(K : 273 + θs(℃))</t>
  </si>
  <si>
    <t>Ts</t>
  </si>
  <si>
    <t>기   관   명</t>
  </si>
  <si>
    <t>주식회사 드림포이엔</t>
  </si>
  <si>
    <t>임핀저와 실리카겔에 채취된 물의 총량(mL)</t>
  </si>
  <si>
    <t>Vic</t>
  </si>
  <si>
    <t>배 출 시 설 명</t>
  </si>
  <si>
    <t>V'm</t>
  </si>
  <si>
    <t>건식가스미터의 평균 절대온도(K : 273 + θm(℃))</t>
  </si>
  <si>
    <t>Tm</t>
  </si>
  <si>
    <t>-</t>
  </si>
  <si>
    <t>굴뚝단면</t>
  </si>
  <si>
    <t>측정공 위치의 대기압(mmHg)</t>
  </si>
  <si>
    <t>Pa</t>
  </si>
  <si>
    <t>△H</t>
  </si>
  <si>
    <t>1. 일반사항</t>
  </si>
  <si>
    <t>배출가스 압력(mmHg : 760 + Ps)</t>
  </si>
  <si>
    <t>P's</t>
  </si>
  <si>
    <t xml:space="preserve">측 정 산 소 량   </t>
  </si>
  <si>
    <t>%</t>
  </si>
  <si>
    <t xml:space="preserve">여   지    번   호 </t>
  </si>
  <si>
    <t>총시료 채취시간(min)</t>
  </si>
  <si>
    <t>t</t>
  </si>
  <si>
    <t xml:space="preserve">이산화탄소 량  </t>
  </si>
  <si>
    <t>기    온</t>
  </si>
  <si>
    <t>℃</t>
  </si>
  <si>
    <t>배출가스 평균유속(m/s)</t>
  </si>
  <si>
    <t>v</t>
  </si>
  <si>
    <t xml:space="preserve">오리피스미터 (△H)  </t>
  </si>
  <si>
    <t>습    도</t>
  </si>
  <si>
    <t>An</t>
  </si>
  <si>
    <t xml:space="preserve">K  -  factor </t>
  </si>
  <si>
    <t>풍    향</t>
  </si>
  <si>
    <t>I</t>
  </si>
  <si>
    <t xml:space="preserve">등속흡인계수   </t>
  </si>
  <si>
    <t>날    씨</t>
  </si>
  <si>
    <t>흡습수분의질량(ma2-ma1)(g)</t>
  </si>
  <si>
    <t>ma</t>
  </si>
  <si>
    <t xml:space="preserve">피토관계수   </t>
  </si>
  <si>
    <t>가스미터계수 (Yd)</t>
  </si>
  <si>
    <t>가스미터에서의 흡인 가스온도(℃)</t>
  </si>
  <si>
    <t>θm</t>
  </si>
  <si>
    <t>누  출 검  사</t>
  </si>
  <si>
    <t>1 지점</t>
  </si>
  <si>
    <t xml:space="preserve">측정위치의 대기압 </t>
  </si>
  <si>
    <t>mmHg</t>
  </si>
  <si>
    <t>가스미터에서의 가스의 게이지압(mmHg)</t>
  </si>
  <si>
    <t>Pm</t>
  </si>
  <si>
    <t xml:space="preserve">흡인노즐   직경 </t>
  </si>
  <si>
    <t>cm</t>
  </si>
  <si>
    <t>2 지점</t>
  </si>
  <si>
    <t xml:space="preserve">대      기      압 </t>
  </si>
  <si>
    <t>흡인한 건조 가스량(건식미터에서 읽은 값)(L)</t>
  </si>
  <si>
    <t>Vm</t>
  </si>
  <si>
    <t xml:space="preserve">굴   뚝    내    경 </t>
  </si>
  <si>
    <t>3 지점</t>
  </si>
  <si>
    <t>적산 유량계(L)</t>
  </si>
  <si>
    <t>4 지점</t>
  </si>
  <si>
    <t>5 지점</t>
  </si>
  <si>
    <t>채 취 전</t>
  </si>
  <si>
    <t>수분량(%)</t>
  </si>
  <si>
    <t>Xw</t>
  </si>
  <si>
    <t xml:space="preserve">흡인유속(L/min) </t>
  </si>
  <si>
    <t>채 취 후</t>
  </si>
  <si>
    <t>배출가스 유속 (m/s)</t>
  </si>
  <si>
    <t>가스미터압 Pm
(mmHg)</t>
  </si>
  <si>
    <t>전 후 차</t>
  </si>
  <si>
    <t>r</t>
  </si>
  <si>
    <t>Tm ℃
(in)</t>
  </si>
  <si>
    <t>흡습병 무게 (g)</t>
  </si>
  <si>
    <t>Tm ℃
(out)</t>
  </si>
  <si>
    <t>건식가스미터에서 읽은 시료 채취량(L)</t>
  </si>
  <si>
    <t>Vs</t>
  </si>
  <si>
    <t>채취량 (L)</t>
  </si>
  <si>
    <t>습배기가스 중의 수증기 부피 백분율(%)</t>
  </si>
  <si>
    <t>수분량 (%)</t>
  </si>
  <si>
    <t>피토우관 계수</t>
  </si>
  <si>
    <t>C</t>
  </si>
  <si>
    <t>g</t>
  </si>
  <si>
    <t>h</t>
  </si>
  <si>
    <t>포인트</t>
  </si>
  <si>
    <t>시   료
채   취
시   간
(min)</t>
  </si>
  <si>
    <r>
      <rPr>
        <b/>
        <sz val="11"/>
        <color rgb="FF000000"/>
        <rFont val="Malgun Gothic"/>
        <family val="3"/>
        <charset val="129"/>
      </rPr>
      <t>배   출
가   스
정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</si>
  <si>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배   출
가   스
동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</si>
  <si>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t>진     공
게이지압
(mmHg)</t>
  </si>
  <si>
    <t>여과지
홀   더
온   도
(℃)</t>
  </si>
  <si>
    <t>건식 가스미터
온도(℃)</t>
  </si>
  <si>
    <t>최      종
임  핀  저
출구온도
(℃)</t>
  </si>
  <si>
    <t>채 취 량
(L)</t>
  </si>
  <si>
    <t>비고</t>
  </si>
  <si>
    <t>굴뚝내의 습한 배출가스 밀도(kg/m3)</t>
  </si>
  <si>
    <t>입구</t>
  </si>
  <si>
    <t>출구</t>
  </si>
  <si>
    <t xml:space="preserve">각 측정점에서 배출가스 정압의 평균치(mmHg) </t>
  </si>
  <si>
    <t>Ps</t>
  </si>
  <si>
    <t>각 측정점에서 배출가스 온도의 평균치(℃)</t>
  </si>
  <si>
    <t>θs</t>
  </si>
  <si>
    <t>N2 (%)</t>
  </si>
  <si>
    <t>C =Pitot 계수</t>
  </si>
  <si>
    <t>합계</t>
  </si>
  <si>
    <t>△Have =장비 고유 값</t>
  </si>
  <si>
    <t>평균</t>
  </si>
  <si>
    <t>Noz =노즐 직경(mm)</t>
  </si>
  <si>
    <t>Md =0.32(% O)+0.44(% CO)+0.28(% N)</t>
  </si>
  <si>
    <t>3. 기타 항목(가스상) 측정 조건</t>
  </si>
  <si>
    <t>NO</t>
  </si>
  <si>
    <t>항목</t>
  </si>
  <si>
    <t>흡인유속
(L/min)</t>
  </si>
  <si>
    <t>가스미터
게이지압
(mmHg)</t>
  </si>
  <si>
    <t>건식
가스미터
 온도(℃)</t>
  </si>
  <si>
    <t>채 취 랑
(L)</t>
  </si>
  <si>
    <t>Bwo =수분량(%)/100</t>
  </si>
  <si>
    <t>Ps  =Pb+(St÷13.6)</t>
  </si>
  <si>
    <t>측정점수</t>
  </si>
  <si>
    <t>r1</t>
  </si>
  <si>
    <t>r2</t>
  </si>
  <si>
    <t>r3</t>
  </si>
  <si>
    <t>r4</t>
  </si>
  <si>
    <t>r5</t>
  </si>
  <si>
    <t>먼지</t>
  </si>
  <si>
    <t>수분량</t>
  </si>
  <si>
    <t>【측정결과 계산】</t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</si>
  <si>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</si>
  <si>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r>
      <rPr>
        <sz val="11"/>
        <color rgb="FF000000"/>
        <rFont val="Malgun Gothic"/>
        <family val="3"/>
        <charset val="129"/>
      </rPr>
      <t xml:space="preserve"> </t>
    </r>
    <r>
      <rPr>
        <sz val="11"/>
        <color rgb="FF000000"/>
        <rFont val="맑은 고딕"/>
        <family val="3"/>
        <charset val="129"/>
      </rPr>
      <t>(접수번호)</t>
    </r>
  </si>
  <si>
    <t>Ma</t>
  </si>
  <si>
    <r>
      <rPr>
        <sz val="11"/>
        <color rgb="FF000000"/>
        <rFont val="Malgun Gothic"/>
        <family val="3"/>
        <charset val="129"/>
      </rPr>
      <t>r</t>
    </r>
    <r>
      <rPr>
        <vertAlign val="subscript"/>
        <sz val="11"/>
        <color rgb="FF000000"/>
        <rFont val="맑은 고딕"/>
        <family val="3"/>
        <charset val="129"/>
      </rPr>
      <t>0</t>
    </r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</si>
  <si>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</si>
  <si>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t>:</t>
  </si>
  <si>
    <t>습윤배출가스 중의 수증기의 부피 백분율 (%)</t>
  </si>
  <si>
    <t>=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</si>
  <si>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m</t>
    </r>
  </si>
  <si>
    <t>흡입한 건조 가스량 (건식가스미터에서 읽은 값) (L)</t>
  </si>
  <si>
    <r>
      <rPr>
        <sz val="11"/>
        <color rgb="FF000000"/>
        <rFont val="Malgun Gothic"/>
        <family val="3"/>
        <charset val="129"/>
      </rPr>
      <t>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</si>
  <si>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흡입 가스온도 (℃)</t>
  </si>
  <si>
    <r>
      <rPr>
        <sz val="11"/>
        <color rgb="FF000000"/>
        <rFont val="Malgun Gothic"/>
        <family val="3"/>
        <charset val="129"/>
      </rPr>
      <t>N</t>
    </r>
    <r>
      <rPr>
        <vertAlign val="subscript"/>
        <sz val="11"/>
        <color rgb="FF000000"/>
        <rFont val="맑은 고딕"/>
        <family val="3"/>
        <charset val="129"/>
      </rPr>
      <t>2</t>
    </r>
  </si>
  <si>
    <t>측정공 위치에서의 대기압 (mmHg)</t>
  </si>
  <si>
    <r>
      <rPr>
        <sz val="11"/>
        <color rgb="FF000000"/>
        <rFont val="Malgun Gothic"/>
        <family val="3"/>
        <charset val="129"/>
      </rPr>
      <t>CO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</si>
  <si>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가스의 게이지압 (mmHg)</t>
  </si>
  <si>
    <t>흡습 수분의 질량 (ma2-ma1) (g)</t>
  </si>
  <si>
    <t>V`m</t>
  </si>
  <si>
    <t>배출가스 밀도 (kg/Sm3)</t>
  </si>
  <si>
    <t>∆H</t>
  </si>
  <si>
    <t>표준상태 습 배출가스 밀도 (kg/Sm3)</t>
  </si>
  <si>
    <t>배출가스 압력</t>
  </si>
  <si>
    <t>측정지점 온도 평균치 (℃)</t>
  </si>
  <si>
    <t>측정공 대기압 (mmHg)</t>
  </si>
  <si>
    <t>배출가스 정압 평균 (mmHg)</t>
  </si>
  <si>
    <t>A</t>
  </si>
  <si>
    <t>산소 농도 (%)</t>
  </si>
  <si>
    <t>이산화탄소 농도 (%)</t>
  </si>
  <si>
    <t>질소 농도 (%)</t>
  </si>
  <si>
    <t>4. 배출가스 유속 (m/sec)</t>
  </si>
  <si>
    <t>유속 (m/s)</t>
  </si>
  <si>
    <t>동압 평균 (mmH2O)</t>
  </si>
  <si>
    <t>5. 임핀저와 실리카젤에 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</si>
  <si>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ic</t>
    </r>
  </si>
  <si>
    <t>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</si>
  <si>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s</t>
    </r>
  </si>
  <si>
    <t>건식가스미터 시료채취량 (L)</t>
  </si>
  <si>
    <t>6. 등속흡입계수 계산 (I factor) %</t>
  </si>
  <si>
    <t>등속흡입계수 (%)</t>
  </si>
  <si>
    <r>
      <rPr>
        <sz val="11"/>
        <color rgb="FF000000"/>
        <rFont val="Malgun Gothic"/>
        <family val="3"/>
        <charset val="129"/>
      </rPr>
      <t>T</t>
    </r>
    <r>
      <rPr>
        <sz val="11"/>
        <color rgb="FF000000"/>
        <rFont val="맑은 고딕"/>
        <family val="3"/>
        <charset val="129"/>
      </rPr>
      <t>s</t>
    </r>
  </si>
  <si>
    <t>배출가스 평균 절대온도 (K: 273 + θs (°C))</t>
  </si>
  <si>
    <t>임핀저와 실리카젤에 채취된 물의 총량 (mL)</t>
  </si>
  <si>
    <t>건식가스미터에서 읽은 가스시료채취량 (m3)</t>
  </si>
  <si>
    <t>건식가스미터의 평균 절대온도 (K: 273 + θm (°C))</t>
  </si>
  <si>
    <t>오리피스 압차 (mmH2O)</t>
  </si>
  <si>
    <t>P`s</t>
  </si>
  <si>
    <t>총시료채취시간 (min)</t>
  </si>
  <si>
    <r>
      <rPr>
        <sz val="9"/>
        <color rgb="FF000000"/>
        <rFont val="Malgun Gothic"/>
        <family val="3"/>
        <charset val="129"/>
      </rPr>
      <t>노즐의 단면적 (cm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</si>
  <si>
    <t>Sm3/hr</t>
  </si>
  <si>
    <t>Sm3/min</t>
  </si>
  <si>
    <t>)</t>
  </si>
  <si>
    <t>시료채취자</t>
  </si>
  <si>
    <t>기술책임자</t>
  </si>
  <si>
    <t>측 정 일 자</t>
  </si>
  <si>
    <t>측   정   업   체</t>
  </si>
  <si>
    <t>뷰로베리타스 씨피에스코리아</t>
  </si>
  <si>
    <t xml:space="preserve">               (서명) /             (서명)</t>
  </si>
  <si>
    <t xml:space="preserve">오리피스미터   </t>
  </si>
  <si>
    <r>
      <rPr>
        <b/>
        <sz val="11"/>
        <color rgb="FF000000"/>
        <rFont val="Malgun Gothic"/>
        <family val="3"/>
        <charset val="129"/>
      </rPr>
      <t>mmH</t>
    </r>
    <r>
      <rPr>
        <b/>
        <sz val="11"/>
        <color rgb="FF000000"/>
        <rFont val="맑은 고딕"/>
        <family val="3"/>
        <charset val="129"/>
      </rPr>
      <t>₂O</t>
    </r>
  </si>
  <si>
    <t>적합 / 부적합
교정 후 사용 / 교정 후 부적합</t>
  </si>
  <si>
    <t xml:space="preserve">         Lnw           </t>
  </si>
  <si>
    <t>전</t>
  </si>
  <si>
    <t xml:space="preserve">수        분        량 </t>
  </si>
  <si>
    <t>후</t>
  </si>
  <si>
    <t>흡인유속(L/min)</t>
  </si>
  <si>
    <t>채 취 량 V (L)</t>
  </si>
  <si>
    <t>흡수병 무게(g)</t>
  </si>
  <si>
    <t xml:space="preserve">전 : </t>
  </si>
  <si>
    <t xml:space="preserve">후 : </t>
  </si>
  <si>
    <t>2. 입자상 측정조건 (          )</t>
  </si>
  <si>
    <r>
      <rPr>
        <b/>
        <sz val="11"/>
        <color rgb="FF000000"/>
        <rFont val="Malgun Gothic"/>
        <family val="3"/>
        <charset val="129"/>
      </rPr>
      <t xml:space="preserve">시   료
채   취
시   간
</t>
    </r>
    <r>
      <rPr>
        <b/>
        <sz val="10"/>
        <color rgb="FF000000"/>
        <rFont val="맑은 고딕"/>
        <family val="3"/>
        <charset val="129"/>
      </rPr>
      <t>(min)</t>
    </r>
  </si>
  <si>
    <r>
      <rPr>
        <b/>
        <sz val="11"/>
        <color rgb="FF000000"/>
        <rFont val="Malgun Gothic"/>
        <family val="3"/>
        <charset val="129"/>
      </rPr>
      <t xml:space="preserve">배   출
가   스
정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</si>
  <si>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배   출
가   스
동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</si>
  <si>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</si>
  <si>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진     공
게이지압
</t>
    </r>
    <r>
      <rPr>
        <b/>
        <sz val="10"/>
        <color rgb="FF000000"/>
        <rFont val="맑은 고딕"/>
        <family val="3"/>
        <charset val="129"/>
      </rPr>
      <t>(mmHg)</t>
    </r>
  </si>
  <si>
    <r>
      <rPr>
        <b/>
        <sz val="11"/>
        <color rgb="FF000000"/>
        <rFont val="Malgun Gothic"/>
        <family val="3"/>
        <charset val="129"/>
      </rPr>
      <t xml:space="preserve">배   출
가   스
온   도
</t>
    </r>
    <r>
      <rPr>
        <b/>
        <sz val="10"/>
        <color rgb="FF000000"/>
        <rFont val="맑은 고딕"/>
        <family val="3"/>
        <charset val="129"/>
      </rPr>
      <t>(℃)</t>
    </r>
  </si>
  <si>
    <t>연 소 가 스 분 석</t>
  </si>
  <si>
    <t>Item</t>
  </si>
  <si>
    <r>
      <rPr>
        <sz val="11"/>
        <color rgb="FF000000"/>
        <rFont val="Malgun Gothic"/>
        <family val="3"/>
        <charset val="129"/>
      </rPr>
      <t>O</t>
    </r>
    <r>
      <rPr>
        <sz val="10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[%]</t>
    </r>
  </si>
  <si>
    <t>CO2[%]</t>
  </si>
  <si>
    <t>CO[ppm]</t>
  </si>
  <si>
    <t>Nox[ppm]</t>
  </si>
  <si>
    <t>Sox[ppm]</t>
  </si>
  <si>
    <t>표준산소량</t>
  </si>
  <si>
    <t>Avg.</t>
  </si>
  <si>
    <t>Max.</t>
  </si>
  <si>
    <t>Min.</t>
  </si>
  <si>
    <t>맑음</t>
  </si>
  <si>
    <t>m</t>
  </si>
  <si>
    <t>Ms =Md x (1-Bwo)+Bwo x 18.0</t>
  </si>
  <si>
    <t xml:space="preserve">                      시료채취 기록부</t>
  </si>
  <si>
    <t>결
재</t>
  </si>
  <si>
    <t>시료채취담당자</t>
  </si>
  <si>
    <t>K팩터 공식</t>
  </si>
  <si>
    <t xml:space="preserve"> [ 먼 지 ]</t>
  </si>
  <si>
    <t>← (측정공)</t>
  </si>
  <si>
    <r>
      <rPr>
        <sz val="18"/>
        <color rgb="FF000000"/>
        <rFont val="Gulim"/>
        <family val="3"/>
        <charset val="129"/>
      </rPr>
      <t>8.03989×10</t>
    </r>
    <r>
      <rPr>
        <vertAlign val="superscript"/>
        <sz val="18"/>
        <color rgb="FF000000"/>
        <rFont val="굴림"/>
        <family val="3"/>
        <charset val="129"/>
      </rPr>
      <t>-5</t>
    </r>
    <r>
      <rPr>
        <sz val="18"/>
        <color rgb="FF000000"/>
        <rFont val="굴림"/>
        <family val="3"/>
        <charset val="129"/>
      </rPr>
      <t>×(C)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×△Have x</t>
    </r>
  </si>
  <si>
    <r>
      <rPr>
        <sz val="18"/>
        <color rgb="FF000000"/>
        <rFont val="Gulim"/>
        <family val="3"/>
        <charset val="129"/>
      </rPr>
      <t>(Tm+273.15)×</t>
    </r>
    <r>
      <rPr>
        <b/>
        <sz val="18"/>
        <color rgb="FF000000"/>
        <rFont val="굴림"/>
        <family val="3"/>
        <charset val="129"/>
      </rPr>
      <t>Ps</t>
    </r>
    <r>
      <rPr>
        <sz val="18"/>
        <color rgb="FF000000"/>
        <rFont val="굴림"/>
        <family val="3"/>
        <charset val="129"/>
      </rPr>
      <t>×</t>
    </r>
    <r>
      <rPr>
        <b/>
        <sz val="18"/>
        <color rgb="FF000000"/>
        <rFont val="굴림"/>
        <family val="3"/>
        <charset val="129"/>
      </rPr>
      <t>Md</t>
    </r>
  </si>
  <si>
    <r>
      <rPr>
        <sz val="18"/>
        <color rgb="FF000000"/>
        <rFont val="Gulim"/>
        <family val="3"/>
        <charset val="129"/>
      </rPr>
      <t>×(1-Bwo)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×Noz</t>
    </r>
    <r>
      <rPr>
        <vertAlign val="superscript"/>
        <sz val="18"/>
        <color rgb="FF000000"/>
        <rFont val="굴림"/>
        <family val="3"/>
        <charset val="129"/>
      </rPr>
      <t>4</t>
    </r>
  </si>
  <si>
    <t>업소명 :</t>
  </si>
  <si>
    <t>하동화력발전소</t>
  </si>
  <si>
    <t>피토우관계수 :</t>
  </si>
  <si>
    <r>
      <rPr>
        <sz val="18"/>
        <color rgb="FF000000"/>
        <rFont val="Gulim"/>
        <family val="3"/>
        <charset val="129"/>
      </rPr>
      <t>(Ts+273.15)×Pb×</t>
    </r>
    <r>
      <rPr>
        <b/>
        <sz val="18"/>
        <color rgb="FF000000"/>
        <rFont val="굴림"/>
        <family val="3"/>
        <charset val="129"/>
      </rPr>
      <t>Ms</t>
    </r>
  </si>
  <si>
    <t>측정대상명 :</t>
  </si>
  <si>
    <t>EME 후단</t>
  </si>
  <si>
    <t>대기온도 (℃) :</t>
  </si>
  <si>
    <t>측정일시 :</t>
  </si>
  <si>
    <t>2021.04.06</t>
  </si>
  <si>
    <t>기압 (mmHg) :</t>
  </si>
  <si>
    <t>1point</t>
  </si>
  <si>
    <t>Kf :</t>
  </si>
  <si>
    <t xml:space="preserve">측정공 위치의 기압 (mmHg) : </t>
  </si>
  <si>
    <t>2point</t>
  </si>
  <si>
    <t>흡인노즐(cm)</t>
  </si>
  <si>
    <t>연도 직경 (m) :</t>
  </si>
  <si>
    <t xml:space="preserve">날씨 : </t>
  </si>
  <si>
    <t>오리피스미터 @ㅿH:</t>
  </si>
  <si>
    <t xml:space="preserve">가스미터계수 Yd : </t>
  </si>
  <si>
    <t xml:space="preserve">습도 : </t>
  </si>
  <si>
    <t>산소량 (%) :</t>
  </si>
  <si>
    <t>1지점.</t>
  </si>
  <si>
    <t>(cm)</t>
  </si>
  <si>
    <t>누출시험</t>
  </si>
  <si>
    <t xml:space="preserve">풍속 : </t>
  </si>
  <si>
    <t>CO2 (%) :</t>
  </si>
  <si>
    <t>2지점.</t>
  </si>
  <si>
    <t>적합</t>
  </si>
  <si>
    <t>부적합</t>
  </si>
  <si>
    <t>풍향 :</t>
  </si>
  <si>
    <t>남동</t>
  </si>
  <si>
    <t>등속흡인계수(%) :</t>
  </si>
  <si>
    <t>3지점.</t>
  </si>
  <si>
    <t>교정후 적합</t>
  </si>
  <si>
    <t>교정후 부적합</t>
  </si>
  <si>
    <t>적산유량계</t>
  </si>
  <si>
    <t>수분량 (%) :</t>
  </si>
  <si>
    <t>4지점.</t>
  </si>
  <si>
    <t>여 지 번 호 :</t>
  </si>
  <si>
    <t>A-2</t>
  </si>
  <si>
    <t>Tm =가스메터 온도(℃)</t>
  </si>
  <si>
    <t>채취시간 :</t>
  </si>
  <si>
    <t>5지점.</t>
  </si>
  <si>
    <t>시 료 번 호 :</t>
  </si>
  <si>
    <t>Ts =배출가스 온도(℃)</t>
  </si>
  <si>
    <t>굴뚝단면 및 측정점 배열</t>
  </si>
  <si>
    <t>굴뚝 내경 1m이하</t>
  </si>
  <si>
    <t>Pb  =대기압(mmHg)</t>
  </si>
  <si>
    <t>채취점
번호</t>
  </si>
  <si>
    <t>배출가스
온도(℃)</t>
  </si>
  <si>
    <t>건식가스미터에
서의 온도(℃)</t>
  </si>
  <si>
    <t>배출가스
정압
(mmH2O)</t>
  </si>
  <si>
    <t>배출가스
동압
(mmH2O)</t>
  </si>
  <si>
    <t>오리피스
압차
(mmH2O)</t>
  </si>
  <si>
    <t>시료
채취량
(L)</t>
  </si>
  <si>
    <t>시료채취
시간(분)</t>
  </si>
  <si>
    <t>최종임핀
저출구
온도(℃)</t>
  </si>
  <si>
    <t>진공
게이지압
(mmHg)</t>
  </si>
  <si>
    <t>굴뚝 직경의 16.7 %, 50 %, 83.3 % 에
위치한 지점에서 동정압 확인</t>
  </si>
  <si>
    <r>
      <rPr>
        <sz val="18"/>
        <color rgb="FF000000"/>
        <rFont val="Gulim"/>
        <family val="3"/>
        <charset val="129"/>
      </rPr>
      <t>St  =정압(mmH</t>
    </r>
    <r>
      <rPr>
        <vertAlign val="sub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O)</t>
    </r>
  </si>
  <si>
    <t>1번</t>
  </si>
  <si>
    <t>2번</t>
  </si>
  <si>
    <t>(Apex 장비만 해당) = 8.009</t>
  </si>
  <si>
    <t>3번</t>
  </si>
  <si>
    <t>(Asteck 장비만 해당) = 8.03989</t>
  </si>
  <si>
    <t>4번</t>
  </si>
  <si>
    <t>inHg</t>
  </si>
  <si>
    <t>5번</t>
  </si>
  <si>
    <t>KF 1번</t>
  </si>
  <si>
    <t>KF 2번</t>
  </si>
  <si>
    <t>KF 3번</t>
  </si>
  <si>
    <t>KF 4번</t>
  </si>
  <si>
    <t>KF 5번</t>
  </si>
  <si>
    <t>계산값</t>
  </si>
  <si>
    <t xml:space="preserve"> [ 수 분 량 ]</t>
  </si>
  <si>
    <t>흡입속도</t>
  </si>
  <si>
    <t>가 스 상 장 비</t>
  </si>
  <si>
    <t>채취량 V (L)</t>
  </si>
  <si>
    <t>흡수병 전무게
(g)</t>
  </si>
  <si>
    <t>흡수병 후무게
(g)</t>
  </si>
  <si>
    <r>
      <rPr>
        <sz val="12"/>
        <color rgb="FFFF0000"/>
        <rFont val="Hy태백b"/>
        <family val="3"/>
        <charset val="129"/>
      </rPr>
      <t>mmH</t>
    </r>
    <r>
      <rPr>
        <sz val="12"/>
        <color rgb="FFFF0000"/>
        <rFont val="Hy태백b"/>
        <family val="3"/>
        <charset val="129"/>
      </rPr>
      <t>2O
(진공게이지압)</t>
    </r>
  </si>
  <si>
    <t>mmHg
(진공게이지압)</t>
  </si>
  <si>
    <t>2 L/min</t>
  </si>
  <si>
    <t xml:space="preserve"> [ 입자상 및 가스상 물질 ]</t>
  </si>
  <si>
    <t>1 L/min</t>
  </si>
  <si>
    <t>분류</t>
  </si>
  <si>
    <t>항목명</t>
  </si>
  <si>
    <t>시료번호</t>
  </si>
  <si>
    <t>0.5 L/min</t>
  </si>
  <si>
    <t>0.1 L/min</t>
  </si>
  <si>
    <t>sox</t>
  </si>
  <si>
    <t>nox</t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</si>
  <si>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(</t>
    </r>
    <r>
      <rPr>
        <sz val="15"/>
        <color rgb="FF000000"/>
        <rFont val="맑은 고딕"/>
        <family val="3"/>
        <charset val="129"/>
      </rPr>
      <t>㎜</t>
    </r>
    <r>
      <rPr>
        <sz val="15"/>
        <color rgb="FF000000"/>
        <rFont val="굴림체"/>
        <family val="3"/>
        <charset val="129"/>
      </rPr>
      <t>)</t>
    </r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</si>
  <si>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inch)</t>
    </r>
  </si>
  <si>
    <t>co</t>
  </si>
  <si>
    <t>hcl</t>
  </si>
  <si>
    <t>hf</t>
  </si>
  <si>
    <t>현장
담당자</t>
  </si>
  <si>
    <t>수분량
(%)</t>
  </si>
  <si>
    <t>*</t>
  </si>
  <si>
    <t>+</t>
  </si>
  <si>
    <t>ma2</t>
  </si>
  <si>
    <t>ma1</t>
  </si>
  <si>
    <t xml:space="preserve">밀도 계산식중 48? 이산화탄소 </t>
  </si>
  <si>
    <r>
      <rPr>
        <sz val="11"/>
        <color rgb="FF000000"/>
        <rFont val="Malgun Gothic"/>
        <family val="3"/>
        <charset val="129"/>
      </rPr>
      <t>배출가스밀도(kg/m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</si>
  <si>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t>배출가스
밀      도
(kg/m3)</t>
  </si>
  <si>
    <t>분자량 44</t>
  </si>
  <si>
    <r>
      <rPr>
        <sz val="11"/>
        <color rgb="FF000000"/>
        <rFont val="Malgun Gothic"/>
        <family val="3"/>
        <charset val="129"/>
      </rPr>
      <t>{((100-CO2-O2)*28+</t>
    </r>
    <r>
      <rPr>
        <sz val="11"/>
        <color rgb="FFFF0000"/>
        <rFont val="맑은 고딕"/>
        <family val="3"/>
        <charset val="129"/>
      </rPr>
      <t>44</t>
    </r>
    <r>
      <rPr>
        <sz val="11"/>
        <color rgb="FF000000"/>
        <rFont val="맑은 고딕"/>
        <family val="3"/>
        <charset val="129"/>
      </rPr>
      <t>*CO2+32*O2)</t>
    </r>
  </si>
  <si>
    <t>100-Xw</t>
  </si>
  <si>
    <t>18*Xw}</t>
  </si>
  <si>
    <t>Pa+Ps</t>
  </si>
  <si>
    <t>탄소원자량 : 12</t>
  </si>
  <si>
    <t>22.4*100</t>
  </si>
  <si>
    <t>273+θs</t>
  </si>
  <si>
    <t>산소원자량 : 16</t>
  </si>
  <si>
    <t>44로 변경시 값 동일</t>
  </si>
  <si>
    <t>대기압(mmHg)</t>
  </si>
  <si>
    <t>배출가스유속(m/s)</t>
  </si>
  <si>
    <t>배출가스
유      속
(m/s)</t>
  </si>
  <si>
    <t>√</t>
  </si>
  <si>
    <r>
      <rPr>
        <sz val="11"/>
        <color rgb="FF000000"/>
        <rFont val="Malgun Gothic"/>
        <family val="3"/>
        <charset val="129"/>
      </rPr>
      <t>중력가속도(9.81m/s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</si>
  <si>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피토우관에 의한 동압 평균치(kg/m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 xml:space="preserve"> 또는 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</si>
  <si>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t>채취된 물의 총량(mL)</t>
  </si>
  <si>
    <t>임핀저와
실리카겔에
채취된
물의 총량
(mL)</t>
  </si>
  <si>
    <t>등속흡인계수(I factor)(%)</t>
  </si>
  <si>
    <t>등속흡인
계      수
(%)</t>
  </si>
  <si>
    <t>*    (</t>
  </si>
  <si>
    <r>
      <rPr>
        <sz val="11"/>
        <color rgb="FF000000"/>
        <rFont val="Malgun Gothic"/>
        <family val="3"/>
        <charset val="129"/>
      </rPr>
      <t>건식가스미터에서 읽은 가스시료 채취량(m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</si>
  <si>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오리피스 압차(mmH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</si>
  <si>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r>
      <rPr>
        <sz val="11"/>
        <color rgb="FF000000"/>
        <rFont val="Malgun Gothic"/>
        <family val="3"/>
        <charset val="129"/>
      </rPr>
      <t>노즐의 단면적(cm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</si>
  <si>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t>표1</t>
  </si>
  <si>
    <t>원형단면의 측정점</t>
  </si>
  <si>
    <t>굴뚝직경</t>
  </si>
  <si>
    <t>반경</t>
  </si>
  <si>
    <t>측정</t>
  </si>
  <si>
    <t>굴뚝 중심에서 측정점까지의 거리 ( m )</t>
  </si>
  <si>
    <t>굴뚝 벽면에서 측정점까지의 거리 ( m )</t>
  </si>
  <si>
    <t>2R(m)</t>
  </si>
  <si>
    <t>구분수</t>
  </si>
  <si>
    <t>점수</t>
  </si>
  <si>
    <t>1 이하</t>
  </si>
  <si>
    <t>0.707R</t>
  </si>
  <si>
    <t>1초과 2이하</t>
  </si>
  <si>
    <t>0.500R</t>
  </si>
  <si>
    <t>0.866R</t>
  </si>
  <si>
    <t>2초과 4이하</t>
  </si>
  <si>
    <t>0.408R</t>
  </si>
  <si>
    <t>0.913R</t>
  </si>
  <si>
    <t>4초과4.5이하</t>
  </si>
  <si>
    <t>0.354R</t>
  </si>
  <si>
    <t>0.612R</t>
  </si>
  <si>
    <t>0.791R</t>
  </si>
  <si>
    <t>0.935R</t>
  </si>
  <si>
    <t>4.5초과</t>
  </si>
  <si>
    <t>0.316R</t>
  </si>
  <si>
    <t>0.548R</t>
  </si>
  <si>
    <t>0.837R</t>
  </si>
  <si>
    <t>0.949R</t>
  </si>
  <si>
    <t>=</t>
    <phoneticPr fontId="58" type="noConversion"/>
  </si>
  <si>
    <t>채 취 량
(L)</t>
    <phoneticPr fontId="58" type="noConversion"/>
  </si>
  <si>
    <t>대 기 시 료 채 취 기 록 지</t>
    <phoneticPr fontId="58" type="noConversion"/>
  </si>
  <si>
    <t xml:space="preserve"> </t>
    <phoneticPr fontId="58" type="noConversion"/>
  </si>
  <si>
    <t>1-1. 수분량 (%) [임핀저법]</t>
    <phoneticPr fontId="58" type="noConversion"/>
  </si>
  <si>
    <t>1-2. 수분량 (%) [자동측정법]</t>
    <phoneticPr fontId="58" type="noConversion"/>
  </si>
  <si>
    <t>습윤배출가스 중의 수증기의 부피 백분율 (%)</t>
    <phoneticPr fontId="58" type="noConversion"/>
  </si>
  <si>
    <t>Xw1</t>
    <phoneticPr fontId="58" type="noConversion"/>
  </si>
  <si>
    <t>Xw2</t>
    <phoneticPr fontId="58" type="noConversion"/>
  </si>
  <si>
    <t>Xw3</t>
    <phoneticPr fontId="58" type="noConversion"/>
  </si>
  <si>
    <t>자동측정 1차 백분율 (%)</t>
    <phoneticPr fontId="58" type="noConversion"/>
  </si>
  <si>
    <t>자동측정 2차 백분율 (%)</t>
    <phoneticPr fontId="58" type="noConversion"/>
  </si>
  <si>
    <t>자동측정 3차 백분율 (%)</t>
    <phoneticPr fontId="58" type="noConversion"/>
  </si>
  <si>
    <t>수분 흡습관법</t>
    <phoneticPr fontId="58" type="noConversion"/>
  </si>
  <si>
    <t>수분자동측정법</t>
    <phoneticPr fontId="58" type="noConversion"/>
  </si>
  <si>
    <t>여과지
홀  더
온  도
(℃)</t>
    <phoneticPr fontId="58" type="noConversion"/>
  </si>
  <si>
    <t>최      종
임  핀  저
출구온도
(℃)</t>
    <phoneticPr fontId="58" type="noConversion"/>
  </si>
  <si>
    <t>3. 기타 항목(가스상) 측정 조건</t>
    <phoneticPr fontId="58" type="noConversion"/>
  </si>
  <si>
    <t>시    설    명</t>
    <phoneticPr fontId="58" type="noConversion"/>
  </si>
  <si>
    <t>항목</t>
    <phoneticPr fontId="58" type="noConversion"/>
  </si>
  <si>
    <t xml:space="preserve"> 굴    뚝    내    경 </t>
    <phoneticPr fontId="58" type="noConversion"/>
  </si>
  <si>
    <t>자동측정 4차 백분율 (%)</t>
  </si>
  <si>
    <t>자동측정 5차 백분율 (%)</t>
  </si>
  <si>
    <t>:</t>
    <phoneticPr fontId="58" type="noConversion"/>
  </si>
  <si>
    <t>Xw4</t>
  </si>
  <si>
    <t>Xw5</t>
  </si>
  <si>
    <t>측 정 대 행 기 관</t>
    <phoneticPr fontId="58" type="noConversion"/>
  </si>
  <si>
    <t>포인트</t>
    <phoneticPr fontId="58" type="noConversion"/>
  </si>
  <si>
    <t>접 수 번 호</t>
    <phoneticPr fontId="58" type="noConversion"/>
  </si>
  <si>
    <t>책임기술자</t>
    <phoneticPr fontId="58" type="noConversion"/>
  </si>
  <si>
    <t>총 채취시간</t>
    <phoneticPr fontId="58" type="noConversion"/>
  </si>
  <si>
    <t>담당자(정)</t>
    <phoneticPr fontId="58" type="noConversion"/>
  </si>
  <si>
    <t>담당자(부)</t>
    <phoneticPr fontId="58" type="noConversion"/>
  </si>
  <si>
    <t>누 출 검 사</t>
    <phoneticPr fontId="58" type="noConversion"/>
  </si>
  <si>
    <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  <phoneticPr fontId="58" type="noConversion"/>
  </si>
  <si>
    <t>오리피스압차
(mmH2O)</t>
    <phoneticPr fontId="58" type="noConversion"/>
  </si>
  <si>
    <t>기    온</t>
    <phoneticPr fontId="58" type="noConversion"/>
  </si>
  <si>
    <t>기    상</t>
    <phoneticPr fontId="58" type="noConversion"/>
  </si>
  <si>
    <t>풍    향</t>
    <phoneticPr fontId="58" type="noConversion"/>
  </si>
  <si>
    <t>습    도</t>
    <phoneticPr fontId="58" type="noConversion"/>
  </si>
  <si>
    <t>풍    속</t>
    <phoneticPr fontId="58" type="noConversion"/>
  </si>
  <si>
    <r>
      <t>2. 배출가스밀도 (kg/m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</si>
  <si>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r>
      <t>3. 표준상태 습 배출가스 밀도 (kg/Sm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</si>
  <si>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t>유속 (m/s)</t>
    <phoneticPr fontId="58" type="noConversion"/>
  </si>
  <si>
    <r>
      <t>측정지점 단면적 (m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  <phoneticPr fontId="58" type="noConversion"/>
  </si>
  <si>
    <t>배출가스 온도 평균 (°C)</t>
    <phoneticPr fontId="58" type="noConversion"/>
  </si>
  <si>
    <t>측정공 대기압 (mmHg)</t>
    <phoneticPr fontId="58" type="noConversion"/>
  </si>
  <si>
    <t>(mmHg)</t>
    <phoneticPr fontId="58" type="noConversion"/>
  </si>
  <si>
    <t>(°C)</t>
    <phoneticPr fontId="58" type="noConversion"/>
  </si>
  <si>
    <t>(m2)</t>
    <phoneticPr fontId="58" type="noConversion"/>
  </si>
  <si>
    <t>(m/s)</t>
    <phoneticPr fontId="58" type="noConversion"/>
  </si>
  <si>
    <t>습윤배출가스 중의 수증기의 부피 백분율 (%)</t>
    <phoneticPr fontId="58" type="noConversion"/>
  </si>
  <si>
    <t>(%)</t>
    <phoneticPr fontId="58" type="noConversion"/>
  </si>
  <si>
    <t>=</t>
    <phoneticPr fontId="58" type="noConversion"/>
  </si>
  <si>
    <t>Qa : 유 량</t>
    <phoneticPr fontId="58" type="noConversion"/>
  </si>
  <si>
    <t>Q :  유 량 (산 소 보 정 후)</t>
    <phoneticPr fontId="58" type="noConversion"/>
  </si>
  <si>
    <t>시료채취시간</t>
    <phoneticPr fontId="58" type="noConversion"/>
  </si>
  <si>
    <t>~</t>
    <phoneticPr fontId="58" type="noConversion"/>
  </si>
  <si>
    <t>유속 (m/s)</t>
    <phoneticPr fontId="58" type="noConversion"/>
  </si>
  <si>
    <t>Sm3/min</t>
    <phoneticPr fontId="58" type="noConversion"/>
  </si>
  <si>
    <t>유량(Qa) (Sm3/min)</t>
    <phoneticPr fontId="58" type="noConversion"/>
  </si>
  <si>
    <t>유량 (산소보정 후)
(Sm3/min)</t>
    <phoneticPr fontId="58" type="noConversion"/>
  </si>
  <si>
    <t>2. 입자상 측정조건</t>
    <phoneticPr fontId="58" type="noConversion"/>
  </si>
  <si>
    <r>
      <t>7. 배출가스량 계산 (Sm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/hr)</t>
    </r>
  </si>
  <si>
    <t>배   출
가   스
온   도
(℃)</t>
    <phoneticPr fontId="58" type="noConversion"/>
  </si>
  <si>
    <t>적산 유량계(L)</t>
    <phoneticPr fontId="5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</si>
</sst>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1" formatCode="_-* #,##0_-;\-* #,##0_-;_-* &quot;-&quot;_-;_-@_-"/>
    <numFmt numFmtId="176" formatCode="0.00_ "/>
    <numFmt numFmtId="177" formatCode="0.00_);[Red]\(0.00\)"/>
    <numFmt numFmtId="178" formatCode="0.000_);[Red]\(0.000\)"/>
    <numFmt numFmtId="179" formatCode="0.0_);[Red]\(0.0\)"/>
    <numFmt numFmtId="180" formatCode="0_ "/>
    <numFmt numFmtId="181" formatCode="0.0"/>
    <numFmt numFmtId="183" formatCode="0.000_ "/>
    <numFmt numFmtId="184" formatCode="0.0000"/>
    <numFmt numFmtId="186" formatCode="#,###"/>
    <numFmt numFmtId="187" formatCode="#,###.0"/>
    <numFmt numFmtId="188" formatCode="##,##0.0"/>
    <numFmt numFmtId="189" formatCode="#,###.00"/>
    <numFmt numFmtId="190" formatCode="#,###.000"/>
    <numFmt numFmtId="191" formatCode="0.000"/>
    <numFmt numFmtId="195" formatCode="0.0_ "/>
    <numFmt numFmtId="196" formatCode="_-* #,##0.0_-;\-* #,##0.0_-;_-* &quot;-&quot;_-;_-@"/>
    <numFmt numFmtId="197" formatCode="yyyy&quot;년&quot;\ m&quot;월&quot;\ d&quot;일&quot;"/>
    <numFmt numFmtId="198" formatCode="0.00000"/>
    <numFmt numFmtId="199" formatCode="0.000000"/>
    <numFmt numFmtId="200" formatCode="0.00000_);[Red]\(0.00000\)"/>
    <numFmt numFmtId="201" formatCode="_-* #,##0_-;\-* #,##0_-;_-* &quot;-&quot;_-;_-@"/>
    <numFmt numFmtId="202" formatCode="General&quot; m&quot;"/>
    <numFmt numFmtId="203" formatCode="0.0000000"/>
    <numFmt numFmtId="205" formatCode="@\ \ \ \ \ &quot;(인)&quot;"/>
    <numFmt numFmtId="206" formatCode="0.0\ &quot;%&quot;"/>
    <numFmt numFmtId="207" formatCode="0.000000000"/>
  </numFmts>
  <fonts count="66">
    <font>
      <sz val="11"/>
      <color rgb="FF000000"/>
      <name val="맑은 고딕"/>
      <scheme val="minor"/>
    </font>
    <font>
      <sz val="11"/>
      <color rgb="FF000000"/>
      <name val="Malgun Gothic"/>
      <family val="3"/>
      <charset val="129"/>
    </font>
    <font>
      <b/>
      <sz val="11"/>
      <color rgb="FF000000"/>
      <name val="Malgun Gothic"/>
      <family val="3"/>
      <charset val="129"/>
    </font>
    <font>
      <sz val="11"/>
      <name val="맑은 고딕"/>
      <family val="3"/>
      <charset val="129"/>
    </font>
    <font>
      <b/>
      <sz val="13"/>
      <color rgb="FF000000"/>
      <name val="Malgun Gothic"/>
      <family val="3"/>
      <charset val="129"/>
    </font>
    <font>
      <b/>
      <sz val="14"/>
      <color rgb="FF000000"/>
      <name val="Malgun Gothic"/>
      <family val="3"/>
      <charset val="129"/>
    </font>
    <font>
      <b/>
      <sz val="20"/>
      <color rgb="FF000000"/>
      <name val="Malgun Gothic"/>
      <family val="3"/>
      <charset val="129"/>
    </font>
    <font>
      <b/>
      <sz val="16"/>
      <color rgb="FF000000"/>
      <name val="Malgun Gothic"/>
      <family val="3"/>
      <charset val="129"/>
    </font>
    <font>
      <b/>
      <sz val="12"/>
      <color rgb="FF000000"/>
      <name val="Malgun Gothic"/>
      <family val="3"/>
      <charset val="129"/>
    </font>
    <font>
      <sz val="10"/>
      <color rgb="FF00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sz val="14"/>
      <color rgb="FF000000"/>
      <name val="Malgun Gothic"/>
      <family val="3"/>
      <charset val="129"/>
    </font>
    <font>
      <b/>
      <sz val="10"/>
      <color rgb="FF000000"/>
      <name val="Malgun Gothic"/>
      <family val="3"/>
      <charset val="129"/>
    </font>
    <font>
      <sz val="10"/>
      <color rgb="FF000000"/>
      <name val="Gulim"/>
      <family val="3"/>
      <charset val="129"/>
    </font>
    <font>
      <sz val="18"/>
      <color rgb="FF000000"/>
      <name val="Gulim"/>
      <family val="3"/>
      <charset val="129"/>
    </font>
    <font>
      <b/>
      <sz val="24"/>
      <color rgb="FF000000"/>
      <name val="Gulim"/>
      <family val="3"/>
      <charset val="129"/>
    </font>
    <font>
      <b/>
      <sz val="18"/>
      <color rgb="FF000000"/>
      <name val="Gulim"/>
      <family val="3"/>
      <charset val="129"/>
    </font>
    <font>
      <b/>
      <sz val="16"/>
      <color rgb="FF000000"/>
      <name val="Gulim"/>
      <family val="3"/>
      <charset val="129"/>
    </font>
    <font>
      <b/>
      <sz val="12"/>
      <color rgb="FF000000"/>
      <name val="Gulim"/>
      <family val="3"/>
      <charset val="129"/>
    </font>
    <font>
      <b/>
      <sz val="13"/>
      <color rgb="FF000000"/>
      <name val="Gulim"/>
      <family val="3"/>
      <charset val="129"/>
    </font>
    <font>
      <b/>
      <sz val="11"/>
      <color rgb="FF000000"/>
      <name val="Gulim"/>
      <family val="3"/>
      <charset val="129"/>
    </font>
    <font>
      <sz val="14"/>
      <color rgb="FFFF0000"/>
      <name val="Malgun Gothic"/>
      <family val="3"/>
      <charset val="129"/>
    </font>
    <font>
      <sz val="18"/>
      <color rgb="FF000000"/>
      <name val="Malgun Gothic"/>
      <family val="3"/>
      <charset val="129"/>
    </font>
    <font>
      <b/>
      <sz val="15"/>
      <color rgb="FFFF0000"/>
      <name val="Hy태백b"/>
      <family val="3"/>
      <charset val="129"/>
    </font>
    <font>
      <sz val="12"/>
      <color rgb="FFFF0000"/>
      <name val="Hy태백b"/>
      <family val="3"/>
      <charset val="129"/>
    </font>
    <font>
      <sz val="15"/>
      <color rgb="FF000000"/>
      <name val="Gulimche"/>
      <family val="3"/>
      <charset val="129"/>
    </font>
    <font>
      <sz val="15"/>
      <color rgb="FF000000"/>
      <name val="Malgun Gothic"/>
      <family val="3"/>
      <charset val="129"/>
    </font>
    <font>
      <b/>
      <sz val="15"/>
      <color rgb="FF000000"/>
      <name val="Gulimche"/>
      <family val="3"/>
      <charset val="129"/>
    </font>
    <font>
      <b/>
      <sz val="11"/>
      <color rgb="FFFF0000"/>
      <name val="Malgun Gothic"/>
      <family val="3"/>
      <charset val="129"/>
    </font>
    <font>
      <sz val="36"/>
      <color rgb="FF000000"/>
      <name val="Malgun Gothic"/>
      <family val="3"/>
      <charset val="129"/>
    </font>
    <font>
      <sz val="14"/>
      <color rgb="FF000000"/>
      <name val="Batang"/>
      <family val="1"/>
      <charset val="129"/>
    </font>
    <font>
      <sz val="13"/>
      <color rgb="FF000000"/>
      <name val="Batang"/>
      <family val="1"/>
      <charset val="129"/>
    </font>
    <font>
      <sz val="13"/>
      <color rgb="FF000000"/>
      <name val="Book Antiqua"/>
      <family val="1"/>
    </font>
    <font>
      <sz val="11"/>
      <color rgb="FF000000"/>
      <name val="Book Antiqua"/>
      <family val="1"/>
    </font>
    <font>
      <sz val="13"/>
      <color rgb="FF000000"/>
      <name val="Dotumche"/>
      <family val="3"/>
      <charset val="129"/>
    </font>
    <font>
      <sz val="12"/>
      <color rgb="FF000000"/>
      <name val="Book Antiqua"/>
      <family val="1"/>
    </font>
    <font>
      <sz val="14"/>
      <color rgb="FF000000"/>
      <name val="Book Antiqua"/>
      <family val="1"/>
    </font>
    <font>
      <sz val="11"/>
      <color rgb="FF000000"/>
      <name val="Dotumche"/>
      <family val="3"/>
      <charset val="129"/>
    </font>
    <font>
      <sz val="11"/>
      <color rgb="FF000000"/>
      <name val="Batang"/>
      <family val="1"/>
      <charset val="129"/>
    </font>
    <font>
      <vertAlign val="superscript"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vertAlign val="subscript"/>
      <sz val="11"/>
      <color rgb="FF000000"/>
      <name val="맑은 고딕"/>
      <family val="3"/>
      <charset val="129"/>
    </font>
    <font>
      <b/>
      <vertAlign val="subscript"/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vertAlign val="superscript"/>
      <sz val="12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vertAlign val="superscript"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vertAlign val="subscript"/>
      <sz val="10"/>
      <color rgb="FF000000"/>
      <name val="맑은 고딕"/>
      <family val="3"/>
      <charset val="129"/>
    </font>
    <font>
      <vertAlign val="superscript"/>
      <sz val="18"/>
      <color rgb="FF000000"/>
      <name val="굴림"/>
      <family val="3"/>
      <charset val="129"/>
    </font>
    <font>
      <sz val="18"/>
      <color rgb="FF000000"/>
      <name val="굴림"/>
      <family val="3"/>
      <charset val="129"/>
    </font>
    <font>
      <b/>
      <sz val="18"/>
      <color rgb="FF000000"/>
      <name val="굴림"/>
      <family val="3"/>
      <charset val="129"/>
    </font>
    <font>
      <vertAlign val="subscript"/>
      <sz val="18"/>
      <color rgb="FF000000"/>
      <name val="굴림"/>
      <family val="3"/>
      <charset val="129"/>
    </font>
    <font>
      <sz val="15"/>
      <color rgb="FF000000"/>
      <name val="굴림체"/>
      <family val="3"/>
      <charset val="129"/>
    </font>
    <font>
      <sz val="15"/>
      <color rgb="FF00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8"/>
      <name val="맑은 고딕"/>
      <family val="3"/>
      <charset val="129"/>
    </font>
    <font>
      <b/>
      <sz val="15"/>
      <color indexed="81"/>
      <name val="돋움"/>
      <family val="3"/>
      <charset val="129"/>
    </font>
    <font>
      <b/>
      <sz val="15"/>
      <color indexed="81"/>
      <name val="Tahoma"/>
      <family val="2"/>
    </font>
    <font>
      <sz val="14"/>
      <name val="맑은 고딕"/>
      <family val="3"/>
      <charset val="129"/>
    </font>
    <font>
      <b/>
      <sz val="13"/>
      <color theme="1"/>
      <name val="Malgun Gothic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BE4D5"/>
        <bgColor rgb="FFFBE4D5"/>
      </patternFill>
    </fill>
    <fill>
      <patternFill patternType="solid">
        <fgColor rgb="FFFFFF00"/>
        <bgColor rgb="FFFFFF00"/>
      </patternFill>
    </fill>
    <fill>
      <patternFill patternType="solid">
        <fgColor rgb="FFE7E6E6"/>
        <bgColor rgb="FFE7E6E6"/>
      </patternFill>
    </fill>
    <fill>
      <patternFill patternType="solid">
        <fgColor rgb="FFB4C6E7"/>
        <bgColor rgb="FFB4C6E7"/>
      </patternFill>
    </fill>
    <fill>
      <patternFill patternType="solid">
        <fgColor rgb="FFFF8B8B"/>
        <bgColor rgb="FFFF8B8B"/>
      </patternFill>
    </fill>
    <fill>
      <patternFill patternType="solid">
        <fgColor rgb="FFBDD6EE"/>
        <bgColor rgb="FFBDD6EE"/>
      </patternFill>
    </fill>
    <fill>
      <patternFill patternType="solid">
        <fgColor rgb="FFDAE3F3"/>
        <bgColor rgb="FFDAE3F3"/>
      </patternFill>
    </fill>
    <fill>
      <patternFill patternType="solid">
        <fgColor rgb="FFC6E0B3"/>
        <bgColor rgb="FFC6E0B3"/>
      </patternFill>
    </fill>
    <fill>
      <patternFill patternType="solid">
        <fgColor rgb="FFFF99CC"/>
        <bgColor rgb="FFFF99CC"/>
      </patternFill>
    </fill>
    <fill>
      <patternFill patternType="solid">
        <fgColor rgb="FF00B0F0"/>
        <bgColor rgb="FF00B0F0"/>
      </patternFill>
    </fill>
    <fill>
      <patternFill patternType="solid">
        <fgColor rgb="FFE2F0D9"/>
        <bgColor rgb="FFE2F0D9"/>
      </patternFill>
    </fill>
    <fill>
      <patternFill patternType="solid">
        <fgColor rgb="FFBFBFBF"/>
        <bgColor rgb="FFBFBFB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FBE4D5"/>
      </patternFill>
    </fill>
    <fill>
      <patternFill patternType="solid">
        <fgColor theme="5" tint="0.79998168889431442"/>
        <bgColor rgb="FFBDD6EE"/>
      </patternFill>
    </fill>
    <fill>
      <patternFill patternType="solid">
        <fgColor theme="0"/>
        <bgColor rgb="FFBDD6EE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</fills>
  <borders count="189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/>
      <top style="medium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rgb="FF000000"/>
      </right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</borders>
  <cellStyleXfs count="6">
    <xf numFmtId="0" fontId="0" fillId="0" borderId="0"/>
    <xf numFmtId="0" fontId="40" fillId="0" borderId="80">
      <alignment vertical="center"/>
    </xf>
    <xf numFmtId="9" fontId="40" fillId="0" borderId="80">
      <alignment vertical="center"/>
    </xf>
    <xf numFmtId="0" fontId="40" fillId="0" borderId="80">
      <alignment vertical="center"/>
    </xf>
    <xf numFmtId="41" fontId="40" fillId="0" borderId="80" applyFont="0" applyFill="0" applyBorder="0" applyAlignment="0" applyProtection="0">
      <alignment vertical="center"/>
    </xf>
    <xf numFmtId="0" fontId="59" fillId="0" borderId="80"/>
  </cellStyleXfs>
  <cellXfs count="699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76" fontId="1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0" fontId="2" fillId="0" borderId="15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186" fontId="2" fillId="0" borderId="56" xfId="0" applyNumberFormat="1" applyFont="1" applyBorder="1" applyAlignment="1">
      <alignment horizontal="center" vertical="center"/>
    </xf>
    <xf numFmtId="0" fontId="2" fillId="0" borderId="41" xfId="0" applyFont="1" applyBorder="1" applyAlignment="1">
      <alignment vertical="center"/>
    </xf>
    <xf numFmtId="0" fontId="2" fillId="6" borderId="59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91" fontId="1" fillId="0" borderId="0" xfId="0" applyNumberFormat="1" applyFont="1" applyAlignment="1">
      <alignment vertical="center"/>
    </xf>
    <xf numFmtId="0" fontId="2" fillId="2" borderId="60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 wrapText="1"/>
    </xf>
    <xf numFmtId="0" fontId="2" fillId="2" borderId="62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2" fillId="2" borderId="64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" fillId="0" borderId="19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0" xfId="0" quotePrefix="1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81" fontId="1" fillId="0" borderId="0" xfId="0" applyNumberFormat="1" applyFont="1" applyAlignment="1">
      <alignment vertical="center"/>
    </xf>
    <xf numFmtId="181" fontId="3" fillId="0" borderId="0" xfId="0" applyNumberFormat="1" applyFont="1" applyAlignment="1">
      <alignment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7" xfId="0" quotePrefix="1" applyFont="1" applyBorder="1" applyAlignment="1">
      <alignment horizontal="center" vertical="center"/>
    </xf>
    <xf numFmtId="2" fontId="1" fillId="0" borderId="17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95" fontId="1" fillId="0" borderId="0" xfId="0" applyNumberFormat="1" applyFont="1" applyAlignment="1">
      <alignment vertical="center"/>
    </xf>
    <xf numFmtId="181" fontId="1" fillId="0" borderId="17" xfId="0" applyNumberFormat="1" applyFont="1" applyBorder="1" applyAlignment="1">
      <alignment horizontal="center" vertical="center"/>
    </xf>
    <xf numFmtId="181" fontId="1" fillId="0" borderId="0" xfId="0" applyNumberFormat="1" applyFont="1" applyAlignment="1">
      <alignment horizontal="center" vertical="center"/>
    </xf>
    <xf numFmtId="186" fontId="1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9" fontId="2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9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86" fontId="2" fillId="0" borderId="19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2" borderId="70" xfId="0" applyFont="1" applyFill="1" applyBorder="1" applyAlignment="1">
      <alignment horizontal="center" vertical="center" wrapText="1"/>
    </xf>
    <xf numFmtId="2" fontId="2" fillId="6" borderId="58" xfId="0" applyNumberFormat="1" applyFont="1" applyFill="1" applyBorder="1" applyAlignment="1">
      <alignment horizontal="center" vertical="center"/>
    </xf>
    <xf numFmtId="186" fontId="2" fillId="6" borderId="29" xfId="0" applyNumberFormat="1" applyFont="1" applyFill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2" borderId="71" xfId="0" applyFont="1" applyFill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0" fontId="2" fillId="2" borderId="98" xfId="0" applyFont="1" applyFill="1" applyBorder="1" applyAlignment="1">
      <alignment horizontal="center" vertical="center"/>
    </xf>
    <xf numFmtId="197" fontId="1" fillId="3" borderId="102" xfId="0" applyNumberFormat="1" applyFont="1" applyFill="1" applyBorder="1" applyAlignment="1">
      <alignment horizontal="left" vertical="center"/>
    </xf>
    <xf numFmtId="0" fontId="1" fillId="3" borderId="103" xfId="0" applyFont="1" applyFill="1" applyBorder="1" applyAlignment="1">
      <alignment vertical="center"/>
    </xf>
    <xf numFmtId="0" fontId="1" fillId="3" borderId="104" xfId="0" applyFont="1" applyFill="1" applyBorder="1" applyAlignment="1">
      <alignment vertical="center"/>
    </xf>
    <xf numFmtId="0" fontId="1" fillId="7" borderId="105" xfId="0" applyFont="1" applyFill="1" applyBorder="1" applyAlignment="1">
      <alignment horizontal="center" vertical="center"/>
    </xf>
    <xf numFmtId="0" fontId="1" fillId="7" borderId="106" xfId="0" applyFont="1" applyFill="1" applyBorder="1" applyAlignment="1">
      <alignment horizontal="center" vertical="center"/>
    </xf>
    <xf numFmtId="0" fontId="1" fillId="7" borderId="107" xfId="0" applyFont="1" applyFill="1" applyBorder="1" applyAlignment="1">
      <alignment horizontal="center" vertical="center"/>
    </xf>
    <xf numFmtId="0" fontId="1" fillId="7" borderId="108" xfId="0" applyFont="1" applyFill="1" applyBorder="1" applyAlignment="1">
      <alignment horizontal="center" vertical="center"/>
    </xf>
    <xf numFmtId="0" fontId="1" fillId="10" borderId="109" xfId="0" applyFont="1" applyFill="1" applyBorder="1" applyAlignment="1">
      <alignment horizontal="center" vertical="center"/>
    </xf>
    <xf numFmtId="181" fontId="1" fillId="10" borderId="70" xfId="0" applyNumberFormat="1" applyFont="1" applyFill="1" applyBorder="1" applyAlignment="1">
      <alignment horizontal="center" vertical="center"/>
    </xf>
    <xf numFmtId="0" fontId="1" fillId="8" borderId="6" xfId="0" applyFont="1" applyFill="1" applyBorder="1" applyAlignment="1">
      <alignment vertical="center"/>
    </xf>
    <xf numFmtId="0" fontId="1" fillId="10" borderId="56" xfId="0" applyFont="1" applyFill="1" applyBorder="1" applyAlignment="1">
      <alignment horizontal="center" vertical="center"/>
    </xf>
    <xf numFmtId="181" fontId="1" fillId="10" borderId="19" xfId="0" applyNumberFormat="1" applyFont="1" applyFill="1" applyBorder="1" applyAlignment="1">
      <alignment horizontal="center" vertical="center"/>
    </xf>
    <xf numFmtId="181" fontId="1" fillId="10" borderId="41" xfId="0" applyNumberFormat="1" applyFont="1" applyFill="1" applyBorder="1" applyAlignment="1">
      <alignment horizontal="center" vertical="center"/>
    </xf>
    <xf numFmtId="0" fontId="1" fillId="10" borderId="71" xfId="0" applyFont="1" applyFill="1" applyBorder="1" applyAlignment="1">
      <alignment horizontal="center" vertical="center"/>
    </xf>
    <xf numFmtId="181" fontId="1" fillId="10" borderId="29" xfId="0" applyNumberFormat="1" applyFont="1" applyFill="1" applyBorder="1" applyAlignment="1">
      <alignment horizontal="center" vertical="center"/>
    </xf>
    <xf numFmtId="181" fontId="1" fillId="10" borderId="59" xfId="0" applyNumberFormat="1" applyFont="1" applyFill="1" applyBorder="1" applyAlignment="1">
      <alignment horizontal="center" vertical="center"/>
    </xf>
    <xf numFmtId="0" fontId="1" fillId="11" borderId="109" xfId="0" applyFont="1" applyFill="1" applyBorder="1" applyAlignment="1">
      <alignment horizontal="center" vertical="center"/>
    </xf>
    <xf numFmtId="181" fontId="1" fillId="11" borderId="70" xfId="0" applyNumberFormat="1" applyFont="1" applyFill="1" applyBorder="1" applyAlignment="1">
      <alignment horizontal="center" vertical="center"/>
    </xf>
    <xf numFmtId="181" fontId="1" fillId="11" borderId="110" xfId="0" applyNumberFormat="1" applyFont="1" applyFill="1" applyBorder="1" applyAlignment="1">
      <alignment horizontal="center" vertical="center"/>
    </xf>
    <xf numFmtId="0" fontId="1" fillId="11" borderId="56" xfId="0" applyFont="1" applyFill="1" applyBorder="1" applyAlignment="1">
      <alignment horizontal="center" vertical="center"/>
    </xf>
    <xf numFmtId="181" fontId="1" fillId="11" borderId="19" xfId="0" applyNumberFormat="1" applyFont="1" applyFill="1" applyBorder="1" applyAlignment="1">
      <alignment horizontal="center" vertical="center"/>
    </xf>
    <xf numFmtId="181" fontId="1" fillId="11" borderId="41" xfId="0" applyNumberFormat="1" applyFont="1" applyFill="1" applyBorder="1" applyAlignment="1">
      <alignment horizontal="center" vertical="center"/>
    </xf>
    <xf numFmtId="0" fontId="1" fillId="11" borderId="71" xfId="0" applyFont="1" applyFill="1" applyBorder="1" applyAlignment="1">
      <alignment horizontal="center" vertical="center"/>
    </xf>
    <xf numFmtId="181" fontId="1" fillId="11" borderId="29" xfId="0" applyNumberFormat="1" applyFont="1" applyFill="1" applyBorder="1" applyAlignment="1">
      <alignment horizontal="center" vertical="center"/>
    </xf>
    <xf numFmtId="181" fontId="1" fillId="11" borderId="59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9" fillId="0" borderId="14" xfId="0" applyFont="1" applyBorder="1" applyAlignment="1">
      <alignment horizontal="left" vertical="center"/>
    </xf>
    <xf numFmtId="0" fontId="19" fillId="0" borderId="17" xfId="0" applyFont="1" applyBorder="1" applyAlignment="1">
      <alignment vertical="center"/>
    </xf>
    <xf numFmtId="0" fontId="19" fillId="0" borderId="17" xfId="0" applyFont="1" applyBorder="1" applyAlignment="1">
      <alignment horizontal="left" vertical="center"/>
    </xf>
    <xf numFmtId="0" fontId="19" fillId="0" borderId="68" xfId="0" applyFont="1" applyBorder="1" applyAlignment="1">
      <alignment vertical="center"/>
    </xf>
    <xf numFmtId="0" fontId="19" fillId="0" borderId="37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0" fontId="19" fillId="0" borderId="12" xfId="0" applyFont="1" applyBorder="1" applyAlignment="1">
      <alignment horizontal="left" vertical="center"/>
    </xf>
    <xf numFmtId="0" fontId="19" fillId="0" borderId="13" xfId="0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9" fillId="11" borderId="6" xfId="0" applyFont="1" applyFill="1" applyBorder="1" applyAlignment="1">
      <alignment horizontal="right" vertical="center"/>
    </xf>
    <xf numFmtId="191" fontId="9" fillId="11" borderId="6" xfId="0" applyNumberFormat="1" applyFont="1" applyFill="1" applyBorder="1" applyAlignment="1">
      <alignment horizontal="center" vertical="center"/>
    </xf>
    <xf numFmtId="2" fontId="14" fillId="0" borderId="0" xfId="0" applyNumberFormat="1" applyFont="1" applyAlignment="1">
      <alignment vertical="center"/>
    </xf>
    <xf numFmtId="0" fontId="19" fillId="5" borderId="63" xfId="0" applyFont="1" applyFill="1" applyBorder="1" applyAlignment="1">
      <alignment vertical="center"/>
    </xf>
    <xf numFmtId="0" fontId="19" fillId="0" borderId="11" xfId="0" applyFont="1" applyBorder="1" applyAlignment="1">
      <alignment vertical="center"/>
    </xf>
    <xf numFmtId="0" fontId="19" fillId="5" borderId="46" xfId="0" applyFont="1" applyFill="1" applyBorder="1" applyAlignment="1">
      <alignment horizontal="center" vertical="center"/>
    </xf>
    <xf numFmtId="191" fontId="14" fillId="0" borderId="0" xfId="0" applyNumberFormat="1" applyFont="1" applyAlignment="1">
      <alignment vertical="center"/>
    </xf>
    <xf numFmtId="0" fontId="19" fillId="0" borderId="18" xfId="0" applyFont="1" applyBorder="1" applyAlignment="1">
      <alignment vertical="center"/>
    </xf>
    <xf numFmtId="0" fontId="19" fillId="0" borderId="16" xfId="0" applyFont="1" applyBorder="1" applyAlignment="1">
      <alignment horizontal="left" vertical="center"/>
    </xf>
    <xf numFmtId="0" fontId="20" fillId="0" borderId="121" xfId="0" applyFont="1" applyBorder="1" applyAlignment="1">
      <alignment vertical="center"/>
    </xf>
    <xf numFmtId="198" fontId="14" fillId="0" borderId="0" xfId="0" applyNumberFormat="1" applyFont="1" applyAlignment="1">
      <alignment vertical="center"/>
    </xf>
    <xf numFmtId="0" fontId="19" fillId="0" borderId="11" xfId="0" applyFont="1" applyBorder="1" applyAlignment="1">
      <alignment horizontal="left" vertical="center"/>
    </xf>
    <xf numFmtId="0" fontId="19" fillId="0" borderId="12" xfId="0" applyFont="1" applyBorder="1" applyAlignment="1">
      <alignment horizontal="center" vertical="center"/>
    </xf>
    <xf numFmtId="0" fontId="20" fillId="0" borderId="18" xfId="0" applyFont="1" applyBorder="1" applyAlignment="1">
      <alignment vertical="center"/>
    </xf>
    <xf numFmtId="0" fontId="19" fillId="0" borderId="16" xfId="0" applyFont="1" applyBorder="1" applyAlignment="1">
      <alignment vertical="center"/>
    </xf>
    <xf numFmtId="0" fontId="19" fillId="5" borderId="122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left" vertical="center"/>
    </xf>
    <xf numFmtId="0" fontId="19" fillId="0" borderId="10" xfId="0" applyFont="1" applyBorder="1" applyAlignment="1">
      <alignment vertical="center"/>
    </xf>
    <xf numFmtId="0" fontId="19" fillId="0" borderId="8" xfId="0" applyFont="1" applyBorder="1" applyAlignment="1">
      <alignment vertical="center"/>
    </xf>
    <xf numFmtId="199" fontId="14" fillId="0" borderId="0" xfId="0" applyNumberFormat="1" applyFont="1" applyAlignment="1">
      <alignment vertical="center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19" fillId="5" borderId="6" xfId="0" applyFont="1" applyFill="1" applyBorder="1" applyAlignment="1">
      <alignment vertical="center"/>
    </xf>
    <xf numFmtId="2" fontId="19" fillId="0" borderId="0" xfId="0" applyNumberFormat="1" applyFont="1" applyAlignment="1">
      <alignment horizontal="center" vertical="center"/>
    </xf>
    <xf numFmtId="0" fontId="20" fillId="0" borderId="26" xfId="0" applyFont="1" applyBorder="1" applyAlignment="1">
      <alignment vertical="center"/>
    </xf>
    <xf numFmtId="0" fontId="19" fillId="0" borderId="15" xfId="0" applyFont="1" applyBorder="1" applyAlignment="1">
      <alignment vertical="center"/>
    </xf>
    <xf numFmtId="0" fontId="19" fillId="0" borderId="17" xfId="0" applyFont="1" applyBorder="1" applyAlignment="1">
      <alignment horizontal="center" vertical="center"/>
    </xf>
    <xf numFmtId="0" fontId="19" fillId="0" borderId="68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4" fillId="12" borderId="6" xfId="0" applyFont="1" applyFill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7" fillId="0" borderId="124" xfId="0" applyFont="1" applyBorder="1" applyAlignment="1">
      <alignment horizontal="center" vertical="center"/>
    </xf>
    <xf numFmtId="0" fontId="7" fillId="0" borderId="125" xfId="0" applyFont="1" applyBorder="1" applyAlignment="1">
      <alignment horizontal="center" vertical="center"/>
    </xf>
    <xf numFmtId="0" fontId="8" fillId="0" borderId="126" xfId="0" applyFont="1" applyBorder="1" applyAlignment="1">
      <alignment horizontal="center" vertical="center"/>
    </xf>
    <xf numFmtId="191" fontId="22" fillId="0" borderId="127" xfId="0" applyNumberFormat="1" applyFont="1" applyBorder="1" applyAlignment="1">
      <alignment horizontal="center" vertical="center"/>
    </xf>
    <xf numFmtId="191" fontId="22" fillId="0" borderId="128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7" fillId="0" borderId="1" xfId="0" applyFont="1" applyBorder="1" applyAlignment="1">
      <alignment vertical="center"/>
    </xf>
    <xf numFmtId="0" fontId="18" fillId="0" borderId="4" xfId="0" applyFont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24" fillId="0" borderId="99" xfId="0" applyFont="1" applyBorder="1" applyAlignment="1">
      <alignment horizontal="center" vertical="center" wrapText="1"/>
    </xf>
    <xf numFmtId="0" fontId="24" fillId="0" borderId="131" xfId="0" applyFont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20" fillId="0" borderId="131" xfId="0" applyFont="1" applyBorder="1" applyAlignment="1">
      <alignment horizontal="center" vertical="center"/>
    </xf>
    <xf numFmtId="0" fontId="20" fillId="0" borderId="99" xfId="0" applyFont="1" applyBorder="1" applyAlignment="1">
      <alignment horizontal="center" vertical="center"/>
    </xf>
    <xf numFmtId="198" fontId="20" fillId="0" borderId="131" xfId="0" applyNumberFormat="1" applyFont="1" applyBorder="1" applyAlignment="1">
      <alignment horizontal="center" vertical="center"/>
    </xf>
    <xf numFmtId="0" fontId="19" fillId="0" borderId="53" xfId="0" applyFont="1" applyBorder="1" applyAlignment="1">
      <alignment vertical="center"/>
    </xf>
    <xf numFmtId="0" fontId="19" fillId="0" borderId="56" xfId="0" applyFont="1" applyBorder="1" applyAlignment="1">
      <alignment horizontal="center" vertical="center"/>
    </xf>
    <xf numFmtId="0" fontId="25" fillId="0" borderId="132" xfId="0" applyFont="1" applyBorder="1" applyAlignment="1">
      <alignment horizontal="center" vertical="center" wrapText="1"/>
    </xf>
    <xf numFmtId="0" fontId="26" fillId="0" borderId="133" xfId="0" applyFont="1" applyBorder="1" applyAlignment="1">
      <alignment horizontal="center" vertical="center" wrapText="1"/>
    </xf>
    <xf numFmtId="0" fontId="26" fillId="0" borderId="134" xfId="0" applyFont="1" applyBorder="1" applyAlignment="1">
      <alignment horizontal="center" vertical="center" wrapText="1"/>
    </xf>
    <xf numFmtId="0" fontId="25" fillId="0" borderId="135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136" xfId="0" applyFont="1" applyBorder="1" applyAlignment="1">
      <alignment horizontal="center" vertical="center" wrapText="1"/>
    </xf>
    <xf numFmtId="0" fontId="25" fillId="0" borderId="137" xfId="0" applyFont="1" applyBorder="1" applyAlignment="1">
      <alignment horizontal="center" vertical="center" wrapText="1"/>
    </xf>
    <xf numFmtId="0" fontId="27" fillId="0" borderId="138" xfId="0" applyFont="1" applyBorder="1" applyAlignment="1">
      <alignment horizontal="center" vertical="center" wrapText="1"/>
    </xf>
    <xf numFmtId="0" fontId="27" fillId="0" borderId="139" xfId="0" applyFont="1" applyBorder="1" applyAlignment="1">
      <alignment horizontal="center" vertical="center" wrapText="1"/>
    </xf>
    <xf numFmtId="0" fontId="18" fillId="0" borderId="20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18" fillId="0" borderId="57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" fillId="13" borderId="131" xfId="0" applyFont="1" applyFill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51" xfId="0" applyFont="1" applyBorder="1" applyAlignment="1">
      <alignment vertical="center"/>
    </xf>
    <xf numFmtId="0" fontId="1" fillId="0" borderId="74" xfId="0" applyFont="1" applyBorder="1" applyAlignment="1">
      <alignment vertical="center"/>
    </xf>
    <xf numFmtId="0" fontId="1" fillId="0" borderId="32" xfId="0" applyFont="1" applyBorder="1" applyAlignment="1">
      <alignment horizontal="center" vertical="center"/>
    </xf>
    <xf numFmtId="0" fontId="1" fillId="0" borderId="75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75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0" xfId="0" quotePrefix="1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33" xfId="0" applyFont="1" applyBorder="1" applyAlignment="1">
      <alignment vertical="center"/>
    </xf>
    <xf numFmtId="0" fontId="1" fillId="15" borderId="143" xfId="0" applyFont="1" applyFill="1" applyBorder="1" applyAlignment="1">
      <alignment horizontal="center" vertical="center"/>
    </xf>
    <xf numFmtId="176" fontId="1" fillId="5" borderId="144" xfId="0" applyNumberFormat="1" applyFont="1" applyFill="1" applyBorder="1" applyAlignment="1">
      <alignment horizontal="center" vertical="center"/>
    </xf>
    <xf numFmtId="0" fontId="1" fillId="15" borderId="144" xfId="0" applyFont="1" applyFill="1" applyBorder="1" applyAlignment="1">
      <alignment horizontal="center" vertical="center"/>
    </xf>
    <xf numFmtId="2" fontId="1" fillId="5" borderId="144" xfId="0" applyNumberFormat="1" applyFont="1" applyFill="1" applyBorder="1" applyAlignment="1">
      <alignment horizontal="center" vertical="center"/>
    </xf>
    <xf numFmtId="176" fontId="28" fillId="0" borderId="68" xfId="0" applyNumberFormat="1" applyFont="1" applyBorder="1" applyAlignment="1">
      <alignment horizontal="center" vertical="center"/>
    </xf>
    <xf numFmtId="0" fontId="1" fillId="15" borderId="145" xfId="0" applyFont="1" applyFill="1" applyBorder="1" applyAlignment="1">
      <alignment horizontal="center" vertical="center"/>
    </xf>
    <xf numFmtId="0" fontId="1" fillId="15" borderId="65" xfId="0" applyFont="1" applyFill="1" applyBorder="1" applyAlignment="1">
      <alignment horizontal="center" vertical="center"/>
    </xf>
    <xf numFmtId="0" fontId="1" fillId="13" borderId="131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vertical="center"/>
    </xf>
    <xf numFmtId="0" fontId="1" fillId="15" borderId="147" xfId="0" applyFont="1" applyFill="1" applyBorder="1" applyAlignment="1">
      <alignment horizontal="center" vertical="center"/>
    </xf>
    <xf numFmtId="0" fontId="1" fillId="15" borderId="148" xfId="0" applyFont="1" applyFill="1" applyBorder="1" applyAlignment="1">
      <alignment horizontal="center" vertical="center"/>
    </xf>
    <xf numFmtId="0" fontId="1" fillId="15" borderId="149" xfId="0" applyFont="1" applyFill="1" applyBorder="1" applyAlignment="1">
      <alignment horizontal="center" vertical="center"/>
    </xf>
    <xf numFmtId="0" fontId="1" fillId="15" borderId="150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center" vertical="center"/>
    </xf>
    <xf numFmtId="0" fontId="32" fillId="3" borderId="6" xfId="0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 vertical="center"/>
    </xf>
    <xf numFmtId="0" fontId="35" fillId="3" borderId="6" xfId="0" applyFont="1" applyFill="1" applyBorder="1" applyAlignment="1">
      <alignment horizontal="center" vertical="center"/>
    </xf>
    <xf numFmtId="178" fontId="37" fillId="3" borderId="6" xfId="0" applyNumberFormat="1" applyFont="1" applyFill="1" applyBorder="1" applyAlignment="1">
      <alignment horizontal="center" vertical="center"/>
    </xf>
    <xf numFmtId="178" fontId="37" fillId="3" borderId="15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" fillId="0" borderId="80" xfId="0" applyFont="1" applyBorder="1" applyAlignment="1">
      <alignment vertical="center"/>
    </xf>
    <xf numFmtId="9" fontId="4" fillId="0" borderId="167" xfId="0" applyNumberFormat="1" applyFont="1" applyBorder="1" applyAlignment="1">
      <alignment horizontal="center" vertical="center"/>
    </xf>
    <xf numFmtId="0" fontId="4" fillId="0" borderId="170" xfId="0" applyFont="1" applyBorder="1" applyAlignment="1">
      <alignment vertical="center"/>
    </xf>
    <xf numFmtId="9" fontId="4" fillId="0" borderId="63" xfId="0" applyNumberFormat="1" applyFont="1" applyBorder="1" applyAlignment="1">
      <alignment horizontal="center" vertical="center"/>
    </xf>
    <xf numFmtId="0" fontId="4" fillId="0" borderId="172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0" fontId="59" fillId="0" borderId="0" xfId="0" applyFont="1" applyAlignment="1">
      <alignment vertical="center"/>
    </xf>
    <xf numFmtId="202" fontId="60" fillId="0" borderId="42" xfId="0" applyNumberFormat="1" applyFont="1" applyBorder="1" applyAlignment="1">
      <alignment horizontal="center" vertical="center"/>
    </xf>
    <xf numFmtId="9" fontId="4" fillId="0" borderId="42" xfId="0" applyNumberFormat="1" applyFont="1" applyFill="1" applyBorder="1" applyAlignment="1">
      <alignment horizontal="center" vertical="center"/>
    </xf>
    <xf numFmtId="1" fontId="4" fillId="0" borderId="19" xfId="0" applyNumberFormat="1" applyFont="1" applyFill="1" applyBorder="1" applyAlignment="1">
      <alignment horizontal="center" vertical="center"/>
    </xf>
    <xf numFmtId="189" fontId="4" fillId="0" borderId="19" xfId="0" applyNumberFormat="1" applyFont="1" applyFill="1" applyBorder="1" applyAlignment="1">
      <alignment horizontal="center" vertical="center"/>
    </xf>
    <xf numFmtId="2" fontId="4" fillId="0" borderId="58" xfId="0" applyNumberFormat="1" applyFont="1" applyFill="1" applyBorder="1" applyAlignment="1">
      <alignment horizontal="center" vertical="center"/>
    </xf>
    <xf numFmtId="186" fontId="4" fillId="0" borderId="19" xfId="0" applyNumberFormat="1" applyFont="1" applyFill="1" applyBorder="1" applyAlignment="1">
      <alignment horizontal="center" vertical="center"/>
    </xf>
    <xf numFmtId="187" fontId="4" fillId="0" borderId="19" xfId="0" applyNumberFormat="1" applyFont="1" applyFill="1" applyBorder="1" applyAlignment="1">
      <alignment horizontal="center" vertical="center"/>
    </xf>
    <xf numFmtId="20" fontId="2" fillId="16" borderId="27" xfId="0" applyNumberFormat="1" applyFont="1" applyFill="1" applyBorder="1" applyAlignment="1" applyProtection="1">
      <alignment horizontal="center" vertical="center"/>
      <protection locked="0"/>
    </xf>
    <xf numFmtId="20" fontId="2" fillId="16" borderId="26" xfId="0" applyNumberFormat="1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1" fontId="4" fillId="16" borderId="19" xfId="0" applyNumberFormat="1" applyFont="1" applyFill="1" applyBorder="1" applyAlignment="1" applyProtection="1">
      <alignment horizontal="center" vertical="center"/>
      <protection locked="0"/>
    </xf>
    <xf numFmtId="187" fontId="4" fillId="4" borderId="19" xfId="0" applyNumberFormat="1" applyFont="1" applyFill="1" applyBorder="1" applyAlignment="1" applyProtection="1">
      <alignment horizontal="center" vertical="center"/>
      <protection locked="0"/>
    </xf>
    <xf numFmtId="188" fontId="4" fillId="4" borderId="19" xfId="0" applyNumberFormat="1" applyFont="1" applyFill="1" applyBorder="1" applyAlignment="1" applyProtection="1">
      <alignment horizontal="center" vertical="center"/>
      <protection locked="0"/>
    </xf>
    <xf numFmtId="186" fontId="4" fillId="4" borderId="19" xfId="0" applyNumberFormat="1" applyFont="1" applyFill="1" applyBorder="1" applyAlignment="1" applyProtection="1">
      <alignment horizontal="center" vertical="center"/>
      <protection locked="0"/>
    </xf>
    <xf numFmtId="0" fontId="4" fillId="16" borderId="19" xfId="0" applyFont="1" applyFill="1" applyBorder="1" applyAlignment="1" applyProtection="1">
      <alignment horizontal="center" vertical="center"/>
      <protection locked="0"/>
    </xf>
    <xf numFmtId="0" fontId="4" fillId="16" borderId="29" xfId="0" applyFont="1" applyFill="1" applyBorder="1" applyAlignment="1" applyProtection="1">
      <alignment horizontal="center" vertical="center"/>
      <protection locked="0"/>
    </xf>
    <xf numFmtId="0" fontId="2" fillId="0" borderId="23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4" fillId="16" borderId="23" xfId="0" applyFont="1" applyFill="1" applyBorder="1" applyAlignment="1" applyProtection="1">
      <alignment horizontal="center" vertical="center"/>
      <protection locked="0"/>
    </xf>
    <xf numFmtId="0" fontId="3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0" fillId="0" borderId="80" xfId="0" applyFont="1" applyBorder="1" applyAlignment="1">
      <alignment horizontal="center" vertical="center"/>
    </xf>
    <xf numFmtId="0" fontId="1" fillId="0" borderId="80" xfId="0" quotePrefix="1" applyFont="1" applyBorder="1" applyAlignment="1">
      <alignment horizontal="center" vertical="center"/>
    </xf>
    <xf numFmtId="2" fontId="1" fillId="0" borderId="80" xfId="0" applyNumberFormat="1" applyFont="1" applyBorder="1" applyAlignment="1">
      <alignment horizontal="center" vertical="center"/>
    </xf>
    <xf numFmtId="203" fontId="1" fillId="0" borderId="0" xfId="0" applyNumberFormat="1" applyFont="1" applyAlignment="1">
      <alignment vertical="center"/>
    </xf>
    <xf numFmtId="0" fontId="10" fillId="0" borderId="80" xfId="0" applyFont="1" applyBorder="1" applyAlignment="1">
      <alignment vertical="center"/>
    </xf>
    <xf numFmtId="0" fontId="4" fillId="0" borderId="48" xfId="0" applyFont="1" applyBorder="1" applyAlignment="1">
      <alignment horizontal="center" vertical="center"/>
    </xf>
    <xf numFmtId="0" fontId="4" fillId="4" borderId="44" xfId="0" applyFont="1" applyFill="1" applyBorder="1" applyAlignment="1" applyProtection="1">
      <alignment vertical="center"/>
      <protection locked="0"/>
    </xf>
    <xf numFmtId="0" fontId="4" fillId="4" borderId="40" xfId="0" applyFont="1" applyFill="1" applyBorder="1" applyAlignment="1" applyProtection="1">
      <alignment vertical="center"/>
      <protection locked="0"/>
    </xf>
    <xf numFmtId="1" fontId="4" fillId="4" borderId="40" xfId="0" applyNumberFormat="1" applyFont="1" applyFill="1" applyBorder="1" applyAlignment="1" applyProtection="1">
      <alignment vertical="center"/>
      <protection locked="0"/>
    </xf>
    <xf numFmtId="0" fontId="1" fillId="0" borderId="156" xfId="0" applyFont="1" applyBorder="1" applyAlignment="1">
      <alignment horizontal="center" vertical="center"/>
    </xf>
    <xf numFmtId="0" fontId="1" fillId="0" borderId="156" xfId="0" quotePrefix="1" applyFont="1" applyBorder="1" applyAlignment="1">
      <alignment horizontal="center" vertical="center"/>
    </xf>
    <xf numFmtId="2" fontId="4" fillId="4" borderId="23" xfId="0" applyNumberFormat="1" applyFont="1" applyFill="1" applyBorder="1" applyAlignment="1" applyProtection="1">
      <alignment horizontal="center" vertical="center"/>
      <protection locked="0"/>
    </xf>
    <xf numFmtId="0" fontId="2" fillId="2" borderId="63" xfId="0" applyFont="1" applyFill="1" applyBorder="1" applyAlignment="1">
      <alignment horizontal="center" vertical="center"/>
    </xf>
    <xf numFmtId="0" fontId="2" fillId="0" borderId="98" xfId="0" quotePrefix="1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4" fillId="16" borderId="58" xfId="0" applyFont="1" applyFill="1" applyBorder="1" applyAlignment="1" applyProtection="1">
      <alignment horizontal="center" vertical="center"/>
      <protection locked="0"/>
    </xf>
    <xf numFmtId="0" fontId="2" fillId="2" borderId="78" xfId="0" applyFont="1" applyFill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42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0" fontId="3" fillId="16" borderId="66" xfId="0" applyFont="1" applyFill="1" applyBorder="1" applyAlignment="1" applyProtection="1">
      <alignment vertical="center"/>
      <protection locked="0"/>
    </xf>
    <xf numFmtId="0" fontId="3" fillId="16" borderId="26" xfId="0" applyFont="1" applyFill="1" applyBorder="1" applyAlignment="1" applyProtection="1">
      <alignment vertical="center"/>
      <protection locked="0"/>
    </xf>
    <xf numFmtId="0" fontId="4" fillId="16" borderId="182" xfId="0" applyFont="1" applyFill="1" applyBorder="1" applyAlignment="1" applyProtection="1">
      <alignment horizontal="center" vertical="center"/>
      <protection locked="0"/>
    </xf>
    <xf numFmtId="0" fontId="4" fillId="16" borderId="183" xfId="0" applyFont="1" applyFill="1" applyBorder="1" applyAlignment="1" applyProtection="1">
      <alignment horizontal="center" vertical="center"/>
      <protection locked="0"/>
    </xf>
    <xf numFmtId="0" fontId="2" fillId="17" borderId="181" xfId="0" applyFont="1" applyFill="1" applyBorder="1" applyAlignment="1">
      <alignment horizontal="center" vertical="center" wrapText="1"/>
    </xf>
    <xf numFmtId="0" fontId="2" fillId="17" borderId="184" xfId="0" applyFont="1" applyFill="1" applyBorder="1" applyAlignment="1">
      <alignment horizontal="center" vertical="center" wrapText="1"/>
    </xf>
    <xf numFmtId="0" fontId="2" fillId="17" borderId="185" xfId="0" applyFont="1" applyFill="1" applyBorder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1" fillId="0" borderId="163" xfId="0" applyFont="1" applyBorder="1" applyAlignment="1">
      <alignment horizontal="center" vertical="center"/>
    </xf>
    <xf numFmtId="0" fontId="1" fillId="0" borderId="158" xfId="0" applyFont="1" applyBorder="1" applyAlignment="1">
      <alignment horizontal="center" vertical="center"/>
    </xf>
    <xf numFmtId="0" fontId="1" fillId="0" borderId="158" xfId="0" quotePrefix="1" applyFont="1" applyBorder="1" applyAlignment="1">
      <alignment horizontal="center" vertical="center"/>
    </xf>
    <xf numFmtId="2" fontId="1" fillId="0" borderId="158" xfId="0" applyNumberFormat="1" applyFont="1" applyBorder="1" applyAlignment="1">
      <alignment horizontal="center" vertical="center"/>
    </xf>
    <xf numFmtId="0" fontId="1" fillId="0" borderId="159" xfId="0" applyFont="1" applyBorder="1" applyAlignment="1">
      <alignment horizontal="center" vertical="center"/>
    </xf>
    <xf numFmtId="0" fontId="1" fillId="0" borderId="152" xfId="0" applyFont="1" applyBorder="1" applyAlignment="1">
      <alignment horizontal="center" vertical="center"/>
    </xf>
    <xf numFmtId="0" fontId="1" fillId="0" borderId="162" xfId="0" applyFont="1" applyBorder="1" applyAlignment="1">
      <alignment horizontal="center" vertical="center"/>
    </xf>
    <xf numFmtId="0" fontId="1" fillId="0" borderId="157" xfId="0" applyFont="1" applyBorder="1" applyAlignment="1">
      <alignment horizontal="center" vertical="center"/>
    </xf>
    <xf numFmtId="0" fontId="1" fillId="0" borderId="155" xfId="0" applyFont="1" applyBorder="1" applyAlignment="1">
      <alignment horizontal="center" vertical="center"/>
    </xf>
    <xf numFmtId="20" fontId="60" fillId="16" borderId="4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78" xfId="0" applyFont="1" applyFill="1" applyBorder="1" applyAlignment="1">
      <alignment vertical="center"/>
    </xf>
    <xf numFmtId="2" fontId="65" fillId="19" borderId="17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80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81" fontId="0" fillId="0" borderId="0" xfId="0" applyNumberFormat="1" applyFont="1" applyAlignment="1">
      <alignment vertical="center"/>
    </xf>
    <xf numFmtId="2" fontId="1" fillId="0" borderId="80" xfId="0" applyNumberFormat="1" applyFont="1" applyBorder="1" applyAlignment="1">
      <alignment horizontal="center" vertical="center"/>
    </xf>
    <xf numFmtId="2" fontId="1" fillId="0" borderId="156" xfId="0" applyNumberFormat="1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wrapText="1"/>
    </xf>
    <xf numFmtId="20" fontId="60" fillId="0" borderId="78" xfId="0" applyNumberFormat="1" applyFont="1" applyFill="1" applyBorder="1" applyAlignment="1">
      <alignment horizontal="center" vertical="center"/>
    </xf>
    <xf numFmtId="0" fontId="2" fillId="0" borderId="80" xfId="0" applyFont="1" applyBorder="1" applyAlignment="1">
      <alignment horizontal="left" vertical="center"/>
    </xf>
    <xf numFmtId="1" fontId="0" fillId="0" borderId="0" xfId="0" applyNumberFormat="1" applyFont="1" applyAlignment="1">
      <alignment vertical="center"/>
    </xf>
    <xf numFmtId="198" fontId="0" fillId="0" borderId="0" xfId="0" applyNumberFormat="1" applyFont="1" applyAlignment="1">
      <alignment vertical="center"/>
    </xf>
    <xf numFmtId="201" fontId="1" fillId="0" borderId="80" xfId="0" applyNumberFormat="1" applyFont="1" applyBorder="1" applyAlignment="1">
      <alignment horizontal="center" vertical="center"/>
    </xf>
    <xf numFmtId="181" fontId="1" fillId="0" borderId="80" xfId="0" applyNumberFormat="1" applyFont="1" applyBorder="1" applyAlignment="1">
      <alignment horizontal="center" vertical="center"/>
    </xf>
    <xf numFmtId="0" fontId="10" fillId="9" borderId="80" xfId="0" applyFont="1" applyFill="1" applyBorder="1" applyAlignment="1">
      <alignment vertical="center"/>
    </xf>
    <xf numFmtId="0" fontId="1" fillId="0" borderId="159" xfId="0" applyFont="1" applyBorder="1" applyAlignment="1">
      <alignment vertical="center"/>
    </xf>
    <xf numFmtId="0" fontId="59" fillId="0" borderId="162" xfId="0" applyFont="1" applyBorder="1" applyAlignment="1">
      <alignment vertical="center"/>
    </xf>
    <xf numFmtId="0" fontId="1" fillId="0" borderId="162" xfId="0" applyFont="1" applyBorder="1" applyAlignment="1">
      <alignment vertical="center"/>
    </xf>
    <xf numFmtId="201" fontId="1" fillId="16" borderId="158" xfId="0" quotePrefix="1" applyNumberFormat="1" applyFont="1" applyFill="1" applyBorder="1" applyAlignment="1">
      <alignment horizontal="center" vertical="center"/>
    </xf>
    <xf numFmtId="201" fontId="1" fillId="16" borderId="158" xfId="0" applyNumberFormat="1" applyFont="1" applyFill="1" applyBorder="1" applyAlignment="1">
      <alignment vertical="center"/>
    </xf>
    <xf numFmtId="0" fontId="10" fillId="16" borderId="159" xfId="0" applyFont="1" applyFill="1" applyBorder="1" applyAlignment="1">
      <alignment vertical="center"/>
    </xf>
    <xf numFmtId="196" fontId="1" fillId="20" borderId="80" xfId="0" quotePrefix="1" applyNumberFormat="1" applyFont="1" applyFill="1" applyBorder="1" applyAlignment="1">
      <alignment horizontal="center" vertical="center"/>
    </xf>
    <xf numFmtId="196" fontId="1" fillId="20" borderId="80" xfId="0" applyNumberFormat="1" applyFont="1" applyFill="1" applyBorder="1" applyAlignment="1">
      <alignment vertical="center"/>
    </xf>
    <xf numFmtId="0" fontId="10" fillId="20" borderId="162" xfId="0" applyFont="1" applyFill="1" applyBorder="1" applyAlignment="1">
      <alignment vertical="center"/>
    </xf>
    <xf numFmtId="201" fontId="1" fillId="16" borderId="80" xfId="0" applyNumberFormat="1" applyFont="1" applyFill="1" applyBorder="1" applyAlignment="1">
      <alignment vertical="center"/>
    </xf>
    <xf numFmtId="201" fontId="1" fillId="16" borderId="80" xfId="0" quotePrefix="1" applyNumberFormat="1" applyFont="1" applyFill="1" applyBorder="1" applyAlignment="1">
      <alignment horizontal="center" vertical="center"/>
    </xf>
    <xf numFmtId="0" fontId="10" fillId="16" borderId="162" xfId="0" applyFont="1" applyFill="1" applyBorder="1" applyAlignment="1">
      <alignment vertical="center"/>
    </xf>
    <xf numFmtId="196" fontId="1" fillId="20" borderId="156" xfId="0" quotePrefix="1" applyNumberFormat="1" applyFont="1" applyFill="1" applyBorder="1" applyAlignment="1">
      <alignment horizontal="center" vertical="center"/>
    </xf>
    <xf numFmtId="0" fontId="10" fillId="20" borderId="155" xfId="0" applyFont="1" applyFill="1" applyBorder="1" applyAlignment="1">
      <alignment vertical="center"/>
    </xf>
    <xf numFmtId="207" fontId="0" fillId="0" borderId="0" xfId="0" applyNumberFormat="1" applyFont="1" applyAlignment="1">
      <alignment vertical="center"/>
    </xf>
    <xf numFmtId="196" fontId="1" fillId="21" borderId="80" xfId="0" applyNumberFormat="1" applyFont="1" applyFill="1" applyBorder="1" applyAlignment="1">
      <alignment horizontal="center" vertical="center"/>
    </xf>
    <xf numFmtId="201" fontId="1" fillId="22" borderId="80" xfId="0" applyNumberFormat="1" applyFont="1" applyFill="1" applyBorder="1" applyAlignment="1">
      <alignment horizontal="center" vertical="center"/>
    </xf>
    <xf numFmtId="0" fontId="1" fillId="23" borderId="162" xfId="0" applyFont="1" applyFill="1" applyBorder="1" applyAlignment="1">
      <alignment vertical="center" wrapText="1"/>
    </xf>
    <xf numFmtId="0" fontId="0" fillId="0" borderId="0" xfId="0" applyFont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2" fillId="0" borderId="80" xfId="0" applyFont="1" applyFill="1" applyBorder="1" applyAlignment="1">
      <alignment vertical="center"/>
    </xf>
    <xf numFmtId="0" fontId="3" fillId="0" borderId="80" xfId="0" applyFont="1" applyFill="1" applyBorder="1" applyAlignment="1">
      <alignment vertical="center"/>
    </xf>
    <xf numFmtId="20" fontId="60" fillId="16" borderId="78" xfId="0" applyNumberFormat="1" applyFont="1" applyFill="1" applyBorder="1" applyAlignment="1">
      <alignment horizontal="center" vertical="center"/>
    </xf>
    <xf numFmtId="0" fontId="60" fillId="16" borderId="78" xfId="0" applyFont="1" applyFill="1" applyBorder="1" applyAlignment="1">
      <alignment horizontal="center" vertical="center"/>
    </xf>
    <xf numFmtId="196" fontId="1" fillId="16" borderId="156" xfId="0" applyNumberFormat="1" applyFont="1" applyFill="1" applyBorder="1" applyAlignment="1">
      <alignment vertical="center"/>
    </xf>
    <xf numFmtId="0" fontId="60" fillId="0" borderId="80" xfId="0" applyFont="1" applyFill="1" applyBorder="1" applyAlignment="1">
      <alignment horizontal="center" vertical="center"/>
    </xf>
    <xf numFmtId="0" fontId="2" fillId="2" borderId="171" xfId="0" applyFont="1" applyFill="1" applyBorder="1" applyAlignment="1">
      <alignment horizontal="center" vertical="center"/>
    </xf>
    <xf numFmtId="0" fontId="3" fillId="0" borderId="42" xfId="0" applyFont="1" applyBorder="1" applyAlignment="1">
      <alignment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63" xfId="0" applyFont="1" applyBorder="1" applyAlignment="1" applyProtection="1">
      <alignment vertical="center"/>
      <protection locked="0"/>
    </xf>
    <xf numFmtId="0" fontId="3" fillId="0" borderId="42" xfId="0" applyFont="1" applyBorder="1" applyAlignment="1" applyProtection="1">
      <alignment vertical="center"/>
      <protection locked="0"/>
    </xf>
    <xf numFmtId="2" fontId="4" fillId="0" borderId="40" xfId="0" applyNumberFormat="1" applyFont="1" applyFill="1" applyBorder="1" applyAlignment="1">
      <alignment horizontal="center" vertical="center"/>
    </xf>
    <xf numFmtId="0" fontId="3" fillId="0" borderId="63" xfId="0" applyFont="1" applyFill="1" applyBorder="1" applyAlignment="1">
      <alignment vertical="center"/>
    </xf>
    <xf numFmtId="0" fontId="3" fillId="0" borderId="42" xfId="0" applyFont="1" applyFill="1" applyBorder="1" applyAlignment="1">
      <alignment vertical="center"/>
    </xf>
    <xf numFmtId="0" fontId="2" fillId="0" borderId="47" xfId="0" applyFont="1" applyBorder="1" applyAlignment="1">
      <alignment horizontal="center" vertical="center"/>
    </xf>
    <xf numFmtId="0" fontId="3" fillId="0" borderId="48" xfId="0" applyFont="1" applyBorder="1" applyAlignment="1">
      <alignment vertical="center"/>
    </xf>
    <xf numFmtId="0" fontId="3" fillId="0" borderId="108" xfId="0" applyFont="1" applyBorder="1" applyAlignment="1">
      <alignment vertical="center"/>
    </xf>
    <xf numFmtId="0" fontId="3" fillId="0" borderId="151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0" fontId="3" fillId="0" borderId="69" xfId="0" applyFont="1" applyBorder="1" applyAlignment="1">
      <alignment vertical="center"/>
    </xf>
    <xf numFmtId="191" fontId="4" fillId="4" borderId="40" xfId="0" applyNumberFormat="1" applyFont="1" applyFill="1" applyBorder="1" applyAlignment="1" applyProtection="1">
      <alignment horizontal="center" vertical="center"/>
      <protection locked="0"/>
    </xf>
    <xf numFmtId="191" fontId="3" fillId="0" borderId="63" xfId="0" applyNumberFormat="1" applyFont="1" applyBorder="1" applyAlignment="1" applyProtection="1">
      <alignment vertical="center"/>
      <protection locked="0"/>
    </xf>
    <xf numFmtId="205" fontId="4" fillId="16" borderId="23" xfId="0" applyNumberFormat="1" applyFont="1" applyFill="1" applyBorder="1" applyAlignment="1" applyProtection="1">
      <alignment horizontal="center" vertical="center"/>
      <protection locked="0"/>
    </xf>
    <xf numFmtId="205" fontId="3" fillId="16" borderId="58" xfId="0" applyNumberFormat="1" applyFont="1" applyFill="1" applyBorder="1" applyAlignment="1" applyProtection="1">
      <alignment horizontal="center" vertical="center"/>
      <protection locked="0"/>
    </xf>
    <xf numFmtId="0" fontId="2" fillId="0" borderId="40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205" fontId="4" fillId="16" borderId="47" xfId="0" applyNumberFormat="1" applyFont="1" applyFill="1" applyBorder="1" applyAlignment="1" applyProtection="1">
      <alignment horizontal="center" vertical="center"/>
      <protection locked="0"/>
    </xf>
    <xf numFmtId="205" fontId="4" fillId="16" borderId="48" xfId="0" applyNumberFormat="1" applyFont="1" applyFill="1" applyBorder="1" applyAlignment="1" applyProtection="1">
      <alignment horizontal="center" vertical="center"/>
      <protection locked="0"/>
    </xf>
    <xf numFmtId="205" fontId="4" fillId="16" borderId="30" xfId="0" applyNumberFormat="1" applyFont="1" applyFill="1" applyBorder="1" applyAlignment="1" applyProtection="1">
      <alignment horizontal="center" vertical="center"/>
      <protection locked="0"/>
    </xf>
    <xf numFmtId="205" fontId="4" fillId="16" borderId="72" xfId="0" applyNumberFormat="1" applyFont="1" applyFill="1" applyBorder="1" applyAlignment="1" applyProtection="1">
      <alignment horizontal="center" vertical="center"/>
      <protection locked="0"/>
    </xf>
    <xf numFmtId="1" fontId="4" fillId="4" borderId="40" xfId="0" applyNumberFormat="1" applyFont="1" applyFill="1" applyBorder="1" applyAlignment="1" applyProtection="1">
      <alignment horizontal="center" vertical="center"/>
      <protection locked="0"/>
    </xf>
    <xf numFmtId="1" fontId="3" fillId="0" borderId="63" xfId="0" applyNumberFormat="1" applyFont="1" applyBorder="1" applyAlignment="1" applyProtection="1">
      <alignment vertical="center"/>
      <protection locked="0"/>
    </xf>
    <xf numFmtId="1" fontId="4" fillId="4" borderId="63" xfId="0" applyNumberFormat="1" applyFont="1" applyFill="1" applyBorder="1" applyAlignment="1" applyProtection="1">
      <alignment horizontal="center" vertical="center"/>
      <protection locked="0"/>
    </xf>
    <xf numFmtId="0" fontId="4" fillId="4" borderId="40" xfId="0" applyFont="1" applyFill="1" applyBorder="1" applyAlignment="1" applyProtection="1">
      <alignment horizontal="center" vertical="center"/>
      <protection locked="0"/>
    </xf>
    <xf numFmtId="0" fontId="2" fillId="2" borderId="40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181" fontId="4" fillId="0" borderId="40" xfId="0" applyNumberFormat="1" applyFont="1" applyFill="1" applyBorder="1" applyAlignment="1">
      <alignment horizontal="center" vertical="center"/>
    </xf>
    <xf numFmtId="205" fontId="4" fillId="16" borderId="81" xfId="0" applyNumberFormat="1" applyFont="1" applyFill="1" applyBorder="1" applyAlignment="1" applyProtection="1">
      <alignment horizontal="center" vertical="center"/>
      <protection locked="0"/>
    </xf>
    <xf numFmtId="205" fontId="3" fillId="16" borderId="24" xfId="0" applyNumberFormat="1" applyFont="1" applyFill="1" applyBorder="1" applyAlignment="1" applyProtection="1">
      <alignment horizontal="center" vertical="center"/>
      <protection locked="0"/>
    </xf>
    <xf numFmtId="205" fontId="3" fillId="16" borderId="78" xfId="0" applyNumberFormat="1" applyFont="1" applyFill="1" applyBorder="1" applyAlignment="1" applyProtection="1">
      <alignment horizontal="center" vertical="center"/>
      <protection locked="0"/>
    </xf>
    <xf numFmtId="205" fontId="3" fillId="16" borderId="146" xfId="0" applyNumberFormat="1" applyFont="1" applyFill="1" applyBorder="1" applyAlignment="1" applyProtection="1">
      <alignment horizontal="center" vertical="center"/>
      <protection locked="0"/>
    </xf>
    <xf numFmtId="0" fontId="3" fillId="0" borderId="63" xfId="0" applyFont="1" applyBorder="1" applyAlignment="1">
      <alignment vertical="center"/>
    </xf>
    <xf numFmtId="0" fontId="3" fillId="0" borderId="46" xfId="0" applyFont="1" applyBorder="1" applyAlignment="1">
      <alignment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0" borderId="62" xfId="0" applyFont="1" applyBorder="1" applyAlignment="1">
      <alignment vertical="center"/>
    </xf>
    <xf numFmtId="14" fontId="4" fillId="4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vertical="center"/>
      <protection locked="0"/>
    </xf>
    <xf numFmtId="0" fontId="2" fillId="2" borderId="171" xfId="0" applyFont="1" applyFill="1" applyBorder="1" applyAlignment="1">
      <alignment horizontal="center" vertical="center" wrapText="1"/>
    </xf>
    <xf numFmtId="2" fontId="4" fillId="16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63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0" fontId="2" fillId="0" borderId="63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2" fillId="0" borderId="166" xfId="0" applyFont="1" applyBorder="1" applyAlignment="1">
      <alignment horizontal="center" vertical="center"/>
    </xf>
    <xf numFmtId="0" fontId="3" fillId="0" borderId="168" xfId="0" applyFont="1" applyBorder="1" applyAlignment="1">
      <alignment vertical="center"/>
    </xf>
    <xf numFmtId="0" fontId="4" fillId="16" borderId="169" xfId="0" applyFont="1" applyFill="1" applyBorder="1" applyAlignment="1" applyProtection="1">
      <alignment horizontal="center" vertical="center"/>
      <protection locked="0"/>
    </xf>
    <xf numFmtId="0" fontId="3" fillId="16" borderId="167" xfId="0" applyFont="1" applyFill="1" applyBorder="1" applyAlignment="1" applyProtection="1">
      <alignment vertical="center"/>
      <protection locked="0"/>
    </xf>
    <xf numFmtId="0" fontId="2" fillId="2" borderId="144" xfId="0" applyFont="1" applyFill="1" applyBorder="1" applyAlignment="1">
      <alignment horizontal="center" vertical="center"/>
    </xf>
    <xf numFmtId="191" fontId="4" fillId="0" borderId="40" xfId="0" applyNumberFormat="1" applyFont="1" applyFill="1" applyBorder="1" applyAlignment="1">
      <alignment horizontal="center" vertical="center"/>
    </xf>
    <xf numFmtId="191" fontId="4" fillId="0" borderId="63" xfId="0" applyNumberFormat="1" applyFont="1" applyFill="1" applyBorder="1" applyAlignment="1">
      <alignment horizontal="center" vertical="center"/>
    </xf>
    <xf numFmtId="181" fontId="4" fillId="4" borderId="40" xfId="0" applyNumberFormat="1" applyFont="1" applyFill="1" applyBorder="1" applyAlignment="1" applyProtection="1">
      <alignment horizontal="center" vertical="center"/>
      <protection locked="0"/>
    </xf>
    <xf numFmtId="186" fontId="4" fillId="4" borderId="40" xfId="0" applyNumberFormat="1" applyFont="1" applyFill="1" applyBorder="1" applyAlignment="1" applyProtection="1">
      <alignment horizontal="center" vertical="center"/>
      <protection locked="0"/>
    </xf>
    <xf numFmtId="186" fontId="4" fillId="0" borderId="40" xfId="0" applyNumberFormat="1" applyFont="1" applyFill="1" applyBorder="1" applyAlignment="1">
      <alignment horizontal="center" vertical="center"/>
    </xf>
    <xf numFmtId="2" fontId="2" fillId="0" borderId="27" xfId="0" applyNumberFormat="1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181" fontId="3" fillId="0" borderId="63" xfId="0" applyNumberFormat="1" applyFont="1" applyBorder="1" applyAlignment="1" applyProtection="1">
      <alignment vertical="center"/>
      <protection locked="0"/>
    </xf>
    <xf numFmtId="0" fontId="2" fillId="17" borderId="1" xfId="0" applyFont="1" applyFill="1" applyBorder="1" applyAlignment="1">
      <alignment horizontal="center" vertical="center"/>
    </xf>
    <xf numFmtId="0" fontId="3" fillId="18" borderId="62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3" fillId="0" borderId="143" xfId="0" applyFont="1" applyBorder="1" applyAlignment="1">
      <alignment vertical="center"/>
    </xf>
    <xf numFmtId="14" fontId="2" fillId="0" borderId="40" xfId="0" applyNumberFormat="1" applyFont="1" applyBorder="1" applyAlignment="1">
      <alignment horizontal="center" vertical="center"/>
    </xf>
    <xf numFmtId="0" fontId="5" fillId="0" borderId="40" xfId="0" applyFont="1" applyBorder="1" applyAlignment="1">
      <alignment horizontal="center" vertical="center"/>
    </xf>
    <xf numFmtId="0" fontId="4" fillId="16" borderId="47" xfId="0" applyFont="1" applyFill="1" applyBorder="1" applyAlignment="1" applyProtection="1">
      <alignment horizontal="center" vertical="center"/>
      <protection locked="0"/>
    </xf>
    <xf numFmtId="0" fontId="3" fillId="16" borderId="81" xfId="0" applyFont="1" applyFill="1" applyBorder="1" applyAlignment="1" applyProtection="1">
      <alignment vertical="center"/>
      <protection locked="0"/>
    </xf>
    <xf numFmtId="0" fontId="3" fillId="16" borderId="48" xfId="0" applyFont="1" applyFill="1" applyBorder="1" applyAlignment="1" applyProtection="1">
      <alignment vertical="center"/>
      <protection locked="0"/>
    </xf>
    <xf numFmtId="0" fontId="3" fillId="16" borderId="108" xfId="0" applyFont="1" applyFill="1" applyBorder="1" applyAlignment="1" applyProtection="1">
      <alignment vertical="center"/>
      <protection locked="0"/>
    </xf>
    <xf numFmtId="0" fontId="0" fillId="16" borderId="0" xfId="0" applyFont="1" applyFill="1" applyAlignment="1" applyProtection="1">
      <alignment vertical="center"/>
      <protection locked="0"/>
    </xf>
    <xf numFmtId="0" fontId="3" fillId="16" borderId="151" xfId="0" applyFont="1" applyFill="1" applyBorder="1" applyAlignment="1" applyProtection="1">
      <alignment vertical="center"/>
      <protection locked="0"/>
    </xf>
    <xf numFmtId="0" fontId="2" fillId="0" borderId="27" xfId="0" applyFont="1" applyBorder="1" applyAlignment="1" applyProtection="1">
      <alignment horizontal="center" vertical="center"/>
    </xf>
    <xf numFmtId="0" fontId="3" fillId="0" borderId="98" xfId="0" applyFont="1" applyBorder="1" applyAlignment="1" applyProtection="1">
      <alignment vertical="center"/>
    </xf>
    <xf numFmtId="0" fontId="3" fillId="0" borderId="26" xfId="0" applyFont="1" applyBorder="1" applyAlignment="1" applyProtection="1">
      <alignment vertical="center"/>
    </xf>
    <xf numFmtId="0" fontId="2" fillId="16" borderId="3" xfId="0" applyFont="1" applyFill="1" applyBorder="1" applyAlignment="1" applyProtection="1">
      <alignment horizontal="center" vertical="center"/>
      <protection locked="0"/>
    </xf>
    <xf numFmtId="0" fontId="3" fillId="16" borderId="62" xfId="0" applyFont="1" applyFill="1" applyBorder="1" applyAlignment="1" applyProtection="1">
      <alignment vertical="center"/>
      <protection locked="0"/>
    </xf>
    <xf numFmtId="0" fontId="3" fillId="0" borderId="36" xfId="0" applyFont="1" applyBorder="1" applyAlignment="1">
      <alignment vertical="center"/>
    </xf>
    <xf numFmtId="0" fontId="3" fillId="16" borderId="44" xfId="0" applyFont="1" applyFill="1" applyBorder="1" applyAlignment="1" applyProtection="1">
      <alignment vertical="center"/>
      <protection locked="0"/>
    </xf>
    <xf numFmtId="0" fontId="3" fillId="16" borderId="144" xfId="0" applyFont="1" applyFill="1" applyBorder="1" applyAlignment="1" applyProtection="1">
      <alignment vertical="center"/>
      <protection locked="0"/>
    </xf>
    <xf numFmtId="0" fontId="3" fillId="16" borderId="69" xfId="0" applyFont="1" applyFill="1" applyBorder="1" applyAlignment="1" applyProtection="1">
      <alignment vertical="center"/>
      <protection locked="0"/>
    </xf>
    <xf numFmtId="0" fontId="2" fillId="17" borderId="25" xfId="0" applyFont="1" applyFill="1" applyBorder="1" applyAlignment="1">
      <alignment horizontal="center" vertical="center"/>
    </xf>
    <xf numFmtId="0" fontId="3" fillId="18" borderId="26" xfId="0" applyFont="1" applyFill="1" applyBorder="1" applyAlignment="1">
      <alignment vertical="center"/>
    </xf>
    <xf numFmtId="0" fontId="2" fillId="17" borderId="7" xfId="0" applyFont="1" applyFill="1" applyBorder="1" applyAlignment="1">
      <alignment horizontal="center" vertical="center"/>
    </xf>
    <xf numFmtId="0" fontId="3" fillId="18" borderId="48" xfId="0" applyFont="1" applyFill="1" applyBorder="1" applyAlignment="1">
      <alignment vertical="center"/>
    </xf>
    <xf numFmtId="0" fontId="3" fillId="18" borderId="96" xfId="0" applyFont="1" applyFill="1" applyBorder="1" applyAlignment="1">
      <alignment vertical="center"/>
    </xf>
    <xf numFmtId="0" fontId="3" fillId="18" borderId="151" xfId="0" applyFont="1" applyFill="1" applyBorder="1" applyAlignment="1">
      <alignment vertical="center"/>
    </xf>
    <xf numFmtId="0" fontId="2" fillId="2" borderId="167" xfId="0" applyFont="1" applyFill="1" applyBorder="1" applyAlignment="1">
      <alignment horizontal="center" vertical="center"/>
    </xf>
    <xf numFmtId="0" fontId="3" fillId="0" borderId="165" xfId="0" applyFont="1" applyBorder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3" fillId="0" borderId="80" xfId="0" applyFont="1" applyBorder="1" applyAlignment="1">
      <alignment vertical="center"/>
    </xf>
    <xf numFmtId="0" fontId="2" fillId="2" borderId="164" xfId="0" applyFont="1" applyFill="1" applyBorder="1" applyAlignment="1">
      <alignment horizontal="center" vertical="center"/>
    </xf>
    <xf numFmtId="181" fontId="4" fillId="0" borderId="166" xfId="0" applyNumberFormat="1" applyFont="1" applyFill="1" applyBorder="1" applyAlignment="1">
      <alignment horizontal="center" vertical="center"/>
    </xf>
    <xf numFmtId="0" fontId="3" fillId="0" borderId="161" xfId="0" applyFont="1" applyFill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2" fillId="2" borderId="177" xfId="0" applyFont="1" applyFill="1" applyBorder="1" applyAlignment="1">
      <alignment horizontal="center" vertical="center"/>
    </xf>
    <xf numFmtId="0" fontId="3" fillId="0" borderId="176" xfId="0" applyFont="1" applyBorder="1" applyAlignment="1">
      <alignment vertical="center"/>
    </xf>
    <xf numFmtId="0" fontId="2" fillId="2" borderId="81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69" xfId="0" applyFont="1" applyFill="1" applyBorder="1" applyAlignment="1">
      <alignment horizontal="center" vertical="center"/>
    </xf>
    <xf numFmtId="0" fontId="2" fillId="2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184" fontId="4" fillId="4" borderId="47" xfId="0" applyNumberFormat="1" applyFont="1" applyFill="1" applyBorder="1" applyAlignment="1" applyProtection="1">
      <alignment horizontal="left" vertical="center" wrapText="1"/>
      <protection locked="0"/>
    </xf>
    <xf numFmtId="184" fontId="4" fillId="4" borderId="24" xfId="0" applyNumberFormat="1" applyFont="1" applyFill="1" applyBorder="1" applyAlignment="1" applyProtection="1">
      <alignment horizontal="left" vertical="center"/>
      <protection locked="0"/>
    </xf>
    <xf numFmtId="184" fontId="4" fillId="4" borderId="108" xfId="0" applyNumberFormat="1" applyFont="1" applyFill="1" applyBorder="1" applyAlignment="1" applyProtection="1">
      <alignment horizontal="left" vertical="center"/>
      <protection locked="0"/>
    </xf>
    <xf numFmtId="184" fontId="4" fillId="4" borderId="142" xfId="0" applyNumberFormat="1" applyFont="1" applyFill="1" applyBorder="1" applyAlignment="1" applyProtection="1">
      <alignment horizontal="left" vertical="center"/>
      <protection locked="0"/>
    </xf>
    <xf numFmtId="184" fontId="4" fillId="4" borderId="44" xfId="0" applyNumberFormat="1" applyFont="1" applyFill="1" applyBorder="1" applyAlignment="1" applyProtection="1">
      <alignment horizontal="left" vertical="center"/>
      <protection locked="0"/>
    </xf>
    <xf numFmtId="184" fontId="4" fillId="4" borderId="122" xfId="0" applyNumberFormat="1" applyFont="1" applyFill="1" applyBorder="1" applyAlignment="1" applyProtection="1">
      <alignment horizontal="left" vertical="center"/>
      <protection locked="0"/>
    </xf>
    <xf numFmtId="181" fontId="7" fillId="0" borderId="63" xfId="0" applyNumberFormat="1" applyFont="1" applyBorder="1" applyAlignment="1">
      <alignment horizontal="center" vertical="center"/>
    </xf>
    <xf numFmtId="0" fontId="2" fillId="2" borderId="154" xfId="0" applyFont="1" applyFill="1" applyBorder="1" applyAlignment="1">
      <alignment horizontal="center" vertical="center"/>
    </xf>
    <xf numFmtId="0" fontId="2" fillId="2" borderId="153" xfId="0" applyFont="1" applyFill="1" applyBorder="1" applyAlignment="1">
      <alignment horizontal="center" vertical="center"/>
    </xf>
    <xf numFmtId="206" fontId="61" fillId="0" borderId="179" xfId="5" applyNumberFormat="1" applyFont="1" applyBorder="1" applyAlignment="1" applyProtection="1">
      <alignment horizontal="right" vertical="center"/>
      <protection locked="0"/>
    </xf>
    <xf numFmtId="206" fontId="61" fillId="0" borderId="48" xfId="5" applyNumberFormat="1" applyFont="1" applyBorder="1" applyAlignment="1" applyProtection="1">
      <alignment horizontal="right" vertical="center"/>
      <protection locked="0"/>
    </xf>
    <xf numFmtId="206" fontId="61" fillId="0" borderId="152" xfId="5" applyNumberFormat="1" applyFont="1" applyBorder="1" applyAlignment="1" applyProtection="1">
      <alignment horizontal="right" vertical="center"/>
      <protection locked="0"/>
    </xf>
    <xf numFmtId="206" fontId="61" fillId="0" borderId="151" xfId="5" applyNumberFormat="1" applyFont="1" applyBorder="1" applyAlignment="1" applyProtection="1">
      <alignment horizontal="right" vertical="center"/>
      <protection locked="0"/>
    </xf>
    <xf numFmtId="206" fontId="61" fillId="0" borderId="180" xfId="5" applyNumberFormat="1" applyFont="1" applyBorder="1" applyAlignment="1" applyProtection="1">
      <alignment horizontal="right" vertical="center"/>
      <protection locked="0"/>
    </xf>
    <xf numFmtId="206" fontId="61" fillId="0" borderId="69" xfId="5" applyNumberFormat="1" applyFont="1" applyBorder="1" applyAlignment="1" applyProtection="1">
      <alignment horizontal="right" vertical="center"/>
      <protection locked="0"/>
    </xf>
    <xf numFmtId="181" fontId="7" fillId="0" borderId="42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 wrapText="1"/>
    </xf>
    <xf numFmtId="2" fontId="4" fillId="0" borderId="177" xfId="0" applyNumberFormat="1" applyFont="1" applyFill="1" applyBorder="1" applyAlignment="1">
      <alignment horizontal="center" vertical="center"/>
    </xf>
    <xf numFmtId="0" fontId="3" fillId="0" borderId="178" xfId="0" applyFont="1" applyFill="1" applyBorder="1" applyAlignment="1">
      <alignment vertical="center"/>
    </xf>
    <xf numFmtId="0" fontId="3" fillId="0" borderId="188" xfId="0" applyFont="1" applyFill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2" fillId="0" borderId="78" xfId="0" applyFont="1" applyBorder="1" applyAlignment="1">
      <alignment horizontal="left" vertical="center"/>
    </xf>
    <xf numFmtId="0" fontId="3" fillId="0" borderId="78" xfId="0" applyFont="1" applyBorder="1" applyAlignment="1">
      <alignment vertical="center"/>
    </xf>
    <xf numFmtId="0" fontId="2" fillId="2" borderId="52" xfId="0" applyFont="1" applyFill="1" applyBorder="1" applyAlignment="1">
      <alignment horizontal="center" vertical="center"/>
    </xf>
    <xf numFmtId="0" fontId="3" fillId="0" borderId="110" xfId="0" applyFont="1" applyBorder="1" applyAlignment="1">
      <alignment vertical="center"/>
    </xf>
    <xf numFmtId="0" fontId="2" fillId="2" borderId="175" xfId="0" applyFont="1" applyFill="1" applyBorder="1" applyAlignment="1">
      <alignment horizontal="center" vertical="center"/>
    </xf>
    <xf numFmtId="2" fontId="4" fillId="0" borderId="27" xfId="0" applyNumberFormat="1" applyFont="1" applyFill="1" applyBorder="1" applyAlignment="1">
      <alignment horizontal="center" vertical="center"/>
    </xf>
    <xf numFmtId="186" fontId="3" fillId="0" borderId="63" xfId="0" applyNumberFormat="1" applyFont="1" applyBorder="1" applyAlignment="1" applyProtection="1">
      <alignment vertical="center"/>
      <protection locked="0"/>
    </xf>
    <xf numFmtId="2" fontId="3" fillId="0" borderId="160" xfId="0" applyNumberFormat="1" applyFont="1" applyFill="1" applyBorder="1" applyAlignment="1">
      <alignment vertical="center"/>
    </xf>
    <xf numFmtId="2" fontId="3" fillId="0" borderId="178" xfId="0" applyNumberFormat="1" applyFont="1" applyFill="1" applyBorder="1" applyAlignment="1">
      <alignment vertical="center"/>
    </xf>
    <xf numFmtId="2" fontId="3" fillId="0" borderId="176" xfId="0" applyNumberFormat="1" applyFont="1" applyFill="1" applyBorder="1" applyAlignment="1">
      <alignment vertical="center"/>
    </xf>
    <xf numFmtId="0" fontId="2" fillId="2" borderId="50" xfId="0" applyFont="1" applyFill="1" applyBorder="1" applyAlignment="1">
      <alignment horizontal="center" vertical="center" wrapText="1"/>
    </xf>
    <xf numFmtId="0" fontId="3" fillId="0" borderId="70" xfId="0" applyFont="1" applyBorder="1" applyAlignment="1">
      <alignment vertical="center"/>
    </xf>
    <xf numFmtId="0" fontId="2" fillId="2" borderId="34" xfId="0" applyFont="1" applyFill="1" applyBorder="1" applyAlignment="1">
      <alignment horizontal="center" vertical="center" wrapText="1"/>
    </xf>
    <xf numFmtId="0" fontId="3" fillId="0" borderId="79" xfId="0" applyFont="1" applyBorder="1" applyAlignment="1">
      <alignment vertical="center"/>
    </xf>
    <xf numFmtId="0" fontId="3" fillId="0" borderId="144" xfId="0" applyFont="1" applyBorder="1" applyAlignment="1">
      <alignment vertical="center"/>
    </xf>
    <xf numFmtId="0" fontId="2" fillId="0" borderId="78" xfId="0" applyFont="1" applyFill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189" fontId="5" fillId="0" borderId="40" xfId="0" applyNumberFormat="1" applyFont="1" applyBorder="1" applyAlignment="1">
      <alignment horizontal="center" vertical="center" wrapText="1"/>
    </xf>
    <xf numFmtId="0" fontId="64" fillId="0" borderId="63" xfId="0" applyFont="1" applyBorder="1" applyAlignment="1">
      <alignment vertical="center"/>
    </xf>
    <xf numFmtId="0" fontId="64" fillId="0" borderId="42" xfId="0" applyFont="1" applyBorder="1" applyAlignment="1">
      <alignment vertical="center"/>
    </xf>
    <xf numFmtId="0" fontId="2" fillId="2" borderId="173" xfId="0" applyFont="1" applyFill="1" applyBorder="1" applyAlignment="1">
      <alignment horizontal="center" vertical="center"/>
    </xf>
    <xf numFmtId="0" fontId="3" fillId="0" borderId="81" xfId="0" applyFont="1" applyBorder="1" applyAlignment="1">
      <alignment vertical="center"/>
    </xf>
    <xf numFmtId="0" fontId="3" fillId="0" borderId="174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57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0" borderId="45" xfId="0" applyFont="1" applyBorder="1" applyAlignment="1">
      <alignment vertical="center"/>
    </xf>
    <xf numFmtId="0" fontId="3" fillId="0" borderId="67" xfId="0" applyFont="1" applyBorder="1" applyAlignment="1">
      <alignment vertical="center"/>
    </xf>
    <xf numFmtId="177" fontId="7" fillId="0" borderId="63" xfId="0" applyNumberFormat="1" applyFont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3" fillId="0" borderId="109" xfId="0" applyFont="1" applyBorder="1" applyAlignment="1">
      <alignment vertical="center"/>
    </xf>
    <xf numFmtId="0" fontId="2" fillId="0" borderId="57" xfId="0" applyFont="1" applyBorder="1" applyAlignment="1">
      <alignment horizontal="center" vertical="center"/>
    </xf>
    <xf numFmtId="0" fontId="3" fillId="0" borderId="72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58" xfId="0" applyFont="1" applyBorder="1" applyAlignment="1">
      <alignment horizontal="center" vertical="center"/>
    </xf>
    <xf numFmtId="0" fontId="3" fillId="0" borderId="158" xfId="0" applyFont="1" applyBorder="1" applyAlignment="1">
      <alignment vertical="center"/>
    </xf>
    <xf numFmtId="0" fontId="10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0" fillId="0" borderId="17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10" fillId="0" borderId="81" xfId="0" applyFont="1" applyBorder="1" applyAlignment="1">
      <alignment horizontal="center" vertical="center"/>
    </xf>
    <xf numFmtId="0" fontId="10" fillId="0" borderId="156" xfId="0" applyFont="1" applyBorder="1" applyAlignment="1">
      <alignment horizontal="center" vertical="center"/>
    </xf>
    <xf numFmtId="0" fontId="0" fillId="0" borderId="156" xfId="0" applyFont="1" applyBorder="1" applyAlignment="1">
      <alignment vertical="center"/>
    </xf>
    <xf numFmtId="0" fontId="1" fillId="16" borderId="152" xfId="0" applyFont="1" applyFill="1" applyBorder="1" applyAlignment="1">
      <alignment horizontal="center" vertical="center"/>
    </xf>
    <xf numFmtId="0" fontId="1" fillId="16" borderId="80" xfId="0" applyFont="1" applyFill="1" applyBorder="1" applyAlignment="1">
      <alignment horizontal="center" vertical="center"/>
    </xf>
    <xf numFmtId="0" fontId="1" fillId="16" borderId="157" xfId="0" applyFont="1" applyFill="1" applyBorder="1" applyAlignment="1">
      <alignment horizontal="center" vertical="center"/>
    </xf>
    <xf numFmtId="0" fontId="1" fillId="16" borderId="156" xfId="0" applyFont="1" applyFill="1" applyBorder="1" applyAlignment="1">
      <alignment horizontal="center" vertical="center"/>
    </xf>
    <xf numFmtId="0" fontId="1" fillId="16" borderId="163" xfId="0" applyFont="1" applyFill="1" applyBorder="1" applyAlignment="1">
      <alignment horizontal="center" vertical="center"/>
    </xf>
    <xf numFmtId="0" fontId="1" fillId="16" borderId="15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2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0" borderId="77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3" fillId="0" borderId="97" xfId="0" applyFont="1" applyBorder="1" applyAlignment="1">
      <alignment vertical="center"/>
    </xf>
    <xf numFmtId="0" fontId="3" fillId="0" borderId="39" xfId="0" applyFont="1" applyBorder="1" applyAlignment="1">
      <alignment vertical="center"/>
    </xf>
    <xf numFmtId="0" fontId="2" fillId="0" borderId="27" xfId="0" applyFont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vertical="center"/>
    </xf>
    <xf numFmtId="2" fontId="2" fillId="0" borderId="27" xfId="0" applyNumberFormat="1" applyFont="1" applyBorder="1" applyAlignment="1">
      <alignment horizontal="center" vertical="center"/>
    </xf>
    <xf numFmtId="0" fontId="3" fillId="0" borderId="28" xfId="0" applyFont="1" applyBorder="1" applyAlignment="1">
      <alignment vertical="center"/>
    </xf>
    <xf numFmtId="0" fontId="2" fillId="0" borderId="11" xfId="0" applyFont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5" fillId="0" borderId="32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0" borderId="34" xfId="0" applyFont="1" applyBorder="1" applyAlignment="1">
      <alignment horizontal="center" vertical="center"/>
    </xf>
    <xf numFmtId="0" fontId="3" fillId="0" borderId="82" xfId="0" applyFont="1" applyBorder="1" applyAlignment="1">
      <alignment vertical="center"/>
    </xf>
    <xf numFmtId="0" fontId="3" fillId="0" borderId="84" xfId="0" applyFont="1" applyBorder="1" applyAlignment="1">
      <alignment vertical="center"/>
    </xf>
    <xf numFmtId="0" fontId="3" fillId="0" borderId="86" xfId="0" applyFont="1" applyBorder="1" applyAlignment="1">
      <alignment vertical="center"/>
    </xf>
    <xf numFmtId="0" fontId="3" fillId="0" borderId="87" xfId="0" applyFont="1" applyBorder="1" applyAlignment="1">
      <alignment vertical="center"/>
    </xf>
    <xf numFmtId="0" fontId="2" fillId="0" borderId="83" xfId="0" applyFont="1" applyBorder="1" applyAlignment="1">
      <alignment horizontal="center" vertical="center"/>
    </xf>
    <xf numFmtId="0" fontId="3" fillId="0" borderId="35" xfId="0" applyFont="1" applyBorder="1" applyAlignment="1">
      <alignment vertical="center"/>
    </xf>
    <xf numFmtId="0" fontId="3" fillId="0" borderId="85" xfId="0" applyFont="1" applyBorder="1" applyAlignment="1">
      <alignment vertical="center"/>
    </xf>
    <xf numFmtId="0" fontId="3" fillId="0" borderId="88" xfId="0" applyFont="1" applyBorder="1" applyAlignment="1">
      <alignment vertical="center"/>
    </xf>
    <xf numFmtId="0" fontId="3" fillId="0" borderId="89" xfId="0" applyFont="1" applyBorder="1" applyAlignment="1">
      <alignment vertical="center"/>
    </xf>
    <xf numFmtId="0" fontId="2" fillId="2" borderId="3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3" fillId="0" borderId="66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54" xfId="0" applyFont="1" applyBorder="1" applyAlignment="1">
      <alignment vertical="center"/>
    </xf>
    <xf numFmtId="0" fontId="3" fillId="0" borderId="53" xfId="0" applyFont="1" applyBorder="1" applyAlignment="1">
      <alignment vertical="center"/>
    </xf>
    <xf numFmtId="186" fontId="2" fillId="6" borderId="27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" fillId="2" borderId="43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/>
    </xf>
    <xf numFmtId="0" fontId="2" fillId="0" borderId="90" xfId="0" applyFont="1" applyBorder="1" applyAlignment="1">
      <alignment horizontal="center" vertical="center"/>
    </xf>
    <xf numFmtId="0" fontId="3" fillId="0" borderId="91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94" xfId="0" applyFont="1" applyBorder="1" applyAlignment="1">
      <alignment vertical="center"/>
    </xf>
    <xf numFmtId="0" fontId="2" fillId="0" borderId="92" xfId="0" applyFont="1" applyBorder="1" applyAlignment="1">
      <alignment horizontal="center" vertical="center"/>
    </xf>
    <xf numFmtId="0" fontId="3" fillId="0" borderId="93" xfId="0" applyFont="1" applyBorder="1" applyAlignment="1">
      <alignment vertical="center"/>
    </xf>
    <xf numFmtId="0" fontId="3" fillId="0" borderId="95" xfId="0" applyFont="1" applyBorder="1" applyAlignment="1">
      <alignment vertical="center"/>
    </xf>
    <xf numFmtId="0" fontId="2" fillId="2" borderId="44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left" vertical="center"/>
    </xf>
    <xf numFmtId="0" fontId="2" fillId="0" borderId="28" xfId="0" applyFont="1" applyBorder="1" applyAlignment="1">
      <alignment horizontal="left" vertical="center"/>
    </xf>
    <xf numFmtId="0" fontId="3" fillId="0" borderId="55" xfId="0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190" fontId="2" fillId="0" borderId="11" xfId="0" applyNumberFormat="1" applyFont="1" applyBorder="1" applyAlignment="1">
      <alignment horizontal="center" vertical="center"/>
    </xf>
    <xf numFmtId="186" fontId="2" fillId="0" borderId="11" xfId="0" applyNumberFormat="1" applyFont="1" applyBorder="1" applyAlignment="1">
      <alignment horizontal="center" vertical="center"/>
    </xf>
    <xf numFmtId="0" fontId="1" fillId="7" borderId="99" xfId="0" applyFont="1" applyFill="1" applyBorder="1" applyAlignment="1">
      <alignment horizontal="center" vertical="center"/>
    </xf>
    <xf numFmtId="0" fontId="3" fillId="0" borderId="100" xfId="0" applyFont="1" applyBorder="1" applyAlignment="1">
      <alignment vertical="center"/>
    </xf>
    <xf numFmtId="0" fontId="3" fillId="0" borderId="101" xfId="0" applyFont="1" applyBorder="1" applyAlignment="1">
      <alignment vertical="center"/>
    </xf>
    <xf numFmtId="0" fontId="19" fillId="0" borderId="111" xfId="0" applyFont="1" applyBorder="1" applyAlignment="1">
      <alignment horizontal="center" vertical="center"/>
    </xf>
    <xf numFmtId="0" fontId="3" fillId="0" borderId="112" xfId="0" applyFont="1" applyBorder="1" applyAlignment="1">
      <alignment vertical="center"/>
    </xf>
    <xf numFmtId="0" fontId="3" fillId="0" borderId="113" xfId="0" applyFont="1" applyBorder="1" applyAlignment="1">
      <alignment vertical="center"/>
    </xf>
    <xf numFmtId="0" fontId="3" fillId="0" borderId="114" xfId="0" applyFont="1" applyBorder="1" applyAlignment="1">
      <alignment vertical="center"/>
    </xf>
    <xf numFmtId="0" fontId="3" fillId="0" borderId="115" xfId="0" applyFont="1" applyBorder="1" applyAlignment="1">
      <alignment vertical="center"/>
    </xf>
    <xf numFmtId="0" fontId="3" fillId="0" borderId="116" xfId="0" applyFont="1" applyBorder="1" applyAlignment="1">
      <alignment vertical="center"/>
    </xf>
    <xf numFmtId="0" fontId="3" fillId="0" borderId="117" xfId="0" applyFont="1" applyBorder="1" applyAlignment="1">
      <alignment vertical="center"/>
    </xf>
    <xf numFmtId="0" fontId="3" fillId="0" borderId="118" xfId="0" applyFont="1" applyBorder="1" applyAlignment="1">
      <alignment vertical="center"/>
    </xf>
    <xf numFmtId="0" fontId="19" fillId="0" borderId="119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0" fontId="20" fillId="0" borderId="11" xfId="0" applyFont="1" applyBorder="1" applyAlignment="1">
      <alignment horizontal="center" vertical="center"/>
    </xf>
    <xf numFmtId="2" fontId="19" fillId="5" borderId="43" xfId="0" applyNumberFormat="1" applyFont="1" applyFill="1" applyBorder="1" applyAlignment="1">
      <alignment horizontal="left" vertical="center"/>
    </xf>
    <xf numFmtId="0" fontId="19" fillId="5" borderId="43" xfId="0" applyFont="1" applyFill="1" applyBorder="1" applyAlignment="1">
      <alignment horizontal="left" vertical="center"/>
    </xf>
    <xf numFmtId="0" fontId="19" fillId="0" borderId="28" xfId="0" applyFont="1" applyBorder="1" applyAlignment="1">
      <alignment horizontal="center" vertical="center"/>
    </xf>
    <xf numFmtId="0" fontId="20" fillId="5" borderId="11" xfId="0" applyFont="1" applyFill="1" applyBorder="1" applyAlignment="1">
      <alignment horizontal="center" vertical="center"/>
    </xf>
    <xf numFmtId="0" fontId="18" fillId="5" borderId="11" xfId="0" applyFont="1" applyFill="1" applyBorder="1" applyAlignment="1">
      <alignment horizontal="center" vertical="center"/>
    </xf>
    <xf numFmtId="2" fontId="18" fillId="3" borderId="11" xfId="0" applyNumberFormat="1" applyFont="1" applyFill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2" fontId="18" fillId="0" borderId="11" xfId="0" applyNumberFormat="1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9" fillId="5" borderId="38" xfId="0" applyFont="1" applyFill="1" applyBorder="1" applyAlignment="1">
      <alignment horizontal="center" vertical="center"/>
    </xf>
    <xf numFmtId="0" fontId="19" fillId="0" borderId="120" xfId="0" applyFont="1" applyBorder="1" applyAlignment="1">
      <alignment horizontal="center" vertical="center"/>
    </xf>
    <xf numFmtId="0" fontId="3" fillId="0" borderId="120" xfId="0" applyFont="1" applyBorder="1" applyAlignment="1">
      <alignment vertical="center"/>
    </xf>
    <xf numFmtId="0" fontId="19" fillId="0" borderId="12" xfId="0" applyFont="1" applyBorder="1" applyAlignment="1">
      <alignment horizontal="center" vertical="center"/>
    </xf>
    <xf numFmtId="0" fontId="20" fillId="3" borderId="27" xfId="0" applyFont="1" applyFill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3" borderId="11" xfId="0" applyFont="1" applyFill="1" applyBorder="1" applyAlignment="1">
      <alignment horizontal="center" vertical="center"/>
    </xf>
    <xf numFmtId="0" fontId="18" fillId="0" borderId="9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3" fillId="0" borderId="75" xfId="0" applyFont="1" applyBorder="1" applyAlignment="1">
      <alignment vertical="center"/>
    </xf>
    <xf numFmtId="0" fontId="3" fillId="0" borderId="68" xfId="0" applyFont="1" applyBorder="1" applyAlignment="1">
      <alignment vertical="center"/>
    </xf>
    <xf numFmtId="0" fontId="1" fillId="0" borderId="20" xfId="0" applyFont="1" applyBorder="1" applyAlignment="1">
      <alignment horizontal="center" vertical="center" wrapText="1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4" fillId="0" borderId="17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9" fillId="0" borderId="12" xfId="0" applyFont="1" applyBorder="1" applyAlignment="1">
      <alignment horizontal="left" vertical="center"/>
    </xf>
    <xf numFmtId="0" fontId="23" fillId="0" borderId="99" xfId="0" applyFont="1" applyBorder="1" applyAlignment="1">
      <alignment horizontal="center" vertical="center"/>
    </xf>
    <xf numFmtId="0" fontId="17" fillId="0" borderId="129" xfId="0" applyFont="1" applyBorder="1" applyAlignment="1">
      <alignment horizontal="center" vertical="center"/>
    </xf>
    <xf numFmtId="0" fontId="3" fillId="0" borderId="130" xfId="0" applyFont="1" applyBorder="1" applyAlignment="1">
      <alignment vertical="center"/>
    </xf>
    <xf numFmtId="0" fontId="18" fillId="0" borderId="22" xfId="0" applyFont="1" applyBorder="1" applyAlignment="1">
      <alignment horizontal="center" vertical="center" wrapText="1"/>
    </xf>
    <xf numFmtId="0" fontId="18" fillId="3" borderId="11" xfId="0" applyFont="1" applyFill="1" applyBorder="1" applyAlignment="1">
      <alignment horizontal="center" vertical="center"/>
    </xf>
    <xf numFmtId="0" fontId="20" fillId="0" borderId="22" xfId="0" applyFont="1" applyBorder="1" applyAlignment="1">
      <alignment horizontal="center" vertical="center" wrapText="1"/>
    </xf>
    <xf numFmtId="176" fontId="18" fillId="5" borderId="27" xfId="0" applyNumberFormat="1" applyFont="1" applyFill="1" applyBorder="1" applyAlignment="1">
      <alignment horizontal="center" vertical="center"/>
    </xf>
    <xf numFmtId="0" fontId="18" fillId="5" borderId="27" xfId="0" applyFont="1" applyFill="1" applyBorder="1" applyAlignment="1">
      <alignment horizontal="center" vertical="center"/>
    </xf>
    <xf numFmtId="0" fontId="19" fillId="0" borderId="16" xfId="0" applyFont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/>
    </xf>
    <xf numFmtId="181" fontId="19" fillId="0" borderId="12" xfId="0" applyNumberFormat="1" applyFont="1" applyBorder="1" applyAlignment="1">
      <alignment horizontal="left" vertical="center"/>
    </xf>
    <xf numFmtId="191" fontId="19" fillId="5" borderId="43" xfId="0" applyNumberFormat="1" applyFont="1" applyFill="1" applyBorder="1" applyAlignment="1">
      <alignment horizontal="left" vertical="center"/>
    </xf>
    <xf numFmtId="0" fontId="19" fillId="5" borderId="43" xfId="0" applyFont="1" applyFill="1" applyBorder="1" applyAlignment="1">
      <alignment horizontal="center" vertical="center"/>
    </xf>
    <xf numFmtId="0" fontId="18" fillId="0" borderId="16" xfId="0" applyFont="1" applyBorder="1" applyAlignment="1">
      <alignment horizontal="center" vertical="center" wrapText="1"/>
    </xf>
    <xf numFmtId="0" fontId="18" fillId="3" borderId="27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/>
    </xf>
    <xf numFmtId="0" fontId="3" fillId="0" borderId="24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18" fillId="0" borderId="25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 wrapText="1"/>
    </xf>
    <xf numFmtId="2" fontId="18" fillId="5" borderId="27" xfId="0" applyNumberFormat="1" applyFont="1" applyFill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2" fontId="18" fillId="3" borderId="27" xfId="0" applyNumberFormat="1" applyFont="1" applyFill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3" fillId="0" borderId="14" xfId="0" applyFont="1" applyBorder="1" applyAlignment="1">
      <alignment vertical="center"/>
    </xf>
    <xf numFmtId="0" fontId="19" fillId="0" borderId="25" xfId="0" applyFont="1" applyBorder="1" applyAlignment="1">
      <alignment horizontal="left" vertical="center"/>
    </xf>
    <xf numFmtId="0" fontId="15" fillId="0" borderId="73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2" fontId="19" fillId="0" borderId="12" xfId="0" applyNumberFormat="1" applyFont="1" applyBorder="1" applyAlignment="1">
      <alignment horizontal="center" vertical="center"/>
    </xf>
    <xf numFmtId="176" fontId="19" fillId="0" borderId="12" xfId="0" applyNumberFormat="1" applyFont="1" applyBorder="1" applyAlignment="1">
      <alignment horizontal="left" vertical="center"/>
    </xf>
    <xf numFmtId="177" fontId="28" fillId="0" borderId="12" xfId="0" applyNumberFormat="1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176" fontId="28" fillId="0" borderId="17" xfId="0" applyNumberFormat="1" applyFont="1" applyBorder="1" applyAlignment="1">
      <alignment horizontal="center" vertical="center"/>
    </xf>
    <xf numFmtId="176" fontId="28" fillId="0" borderId="12" xfId="0" applyNumberFormat="1" applyFont="1" applyBorder="1" applyAlignment="1">
      <alignment horizontal="center" vertical="center"/>
    </xf>
    <xf numFmtId="0" fontId="1" fillId="13" borderId="129" xfId="0" applyFont="1" applyFill="1" applyBorder="1" applyAlignment="1">
      <alignment horizontal="center" vertical="center" wrapText="1"/>
    </xf>
    <xf numFmtId="0" fontId="3" fillId="0" borderId="141" xfId="0" applyFont="1" applyBorder="1" applyAlignment="1">
      <alignment vertical="center"/>
    </xf>
    <xf numFmtId="177" fontId="1" fillId="14" borderId="140" xfId="0" applyNumberFormat="1" applyFont="1" applyFill="1" applyBorder="1" applyAlignment="1">
      <alignment horizontal="center" vertical="center"/>
    </xf>
    <xf numFmtId="0" fontId="3" fillId="0" borderId="142" xfId="0" applyFont="1" applyBorder="1" applyAlignment="1">
      <alignment vertical="center"/>
    </xf>
    <xf numFmtId="0" fontId="3" fillId="0" borderId="146" xfId="0" applyFont="1" applyBorder="1" applyAlignment="1">
      <alignment vertical="center"/>
    </xf>
    <xf numFmtId="183" fontId="28" fillId="0" borderId="28" xfId="0" applyNumberFormat="1" applyFont="1" applyBorder="1" applyAlignment="1">
      <alignment horizontal="center" vertical="center"/>
    </xf>
    <xf numFmtId="177" fontId="28" fillId="0" borderId="28" xfId="0" applyNumberFormat="1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32" xfId="0" applyFont="1" applyBorder="1" applyAlignment="1">
      <alignment horizontal="left" vertical="center"/>
    </xf>
    <xf numFmtId="0" fontId="1" fillId="0" borderId="20" xfId="0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77" fontId="1" fillId="0" borderId="12" xfId="0" applyNumberFormat="1" applyFont="1" applyBorder="1" applyAlignment="1">
      <alignment horizontal="center" vertical="center"/>
    </xf>
    <xf numFmtId="177" fontId="28" fillId="0" borderId="17" xfId="0" applyNumberFormat="1" applyFont="1" applyBorder="1" applyAlignment="1">
      <alignment horizontal="center" vertical="center"/>
    </xf>
    <xf numFmtId="178" fontId="28" fillId="0" borderId="17" xfId="0" applyNumberFormat="1" applyFont="1" applyBorder="1" applyAlignment="1">
      <alignment horizontal="center" vertical="center"/>
    </xf>
    <xf numFmtId="179" fontId="28" fillId="0" borderId="12" xfId="0" applyNumberFormat="1" applyFont="1" applyBorder="1" applyAlignment="1">
      <alignment horizontal="center" vertical="center"/>
    </xf>
    <xf numFmtId="195" fontId="28" fillId="5" borderId="43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200" fontId="1" fillId="0" borderId="0" xfId="0" applyNumberFormat="1" applyFont="1" applyAlignment="1">
      <alignment horizontal="center" vertical="center" shrinkToFit="1"/>
    </xf>
    <xf numFmtId="0" fontId="1" fillId="0" borderId="32" xfId="0" applyFont="1" applyBorder="1" applyAlignment="1">
      <alignment horizontal="center" vertical="center"/>
    </xf>
    <xf numFmtId="0" fontId="1" fillId="0" borderId="51" xfId="0" quotePrefix="1" applyFont="1" applyBorder="1" applyAlignment="1">
      <alignment horizontal="center" vertical="center"/>
    </xf>
    <xf numFmtId="178" fontId="28" fillId="0" borderId="12" xfId="0" applyNumberFormat="1" applyFont="1" applyBorder="1" applyAlignment="1">
      <alignment horizontal="center" vertical="center"/>
    </xf>
    <xf numFmtId="179" fontId="28" fillId="0" borderId="37" xfId="0" applyNumberFormat="1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1" fillId="0" borderId="51" xfId="0" applyFont="1" applyBorder="1" applyAlignment="1">
      <alignment horizontal="left" vertical="center"/>
    </xf>
    <xf numFmtId="0" fontId="3" fillId="0" borderId="74" xfId="0" applyFont="1" applyBorder="1" applyAlignment="1">
      <alignment vertical="center"/>
    </xf>
    <xf numFmtId="0" fontId="1" fillId="0" borderId="75" xfId="0" applyFont="1" applyBorder="1" applyAlignment="1">
      <alignment horizontal="center" vertical="center"/>
    </xf>
    <xf numFmtId="0" fontId="28" fillId="5" borderId="43" xfId="0" applyFont="1" applyFill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177" fontId="1" fillId="0" borderId="17" xfId="0" applyNumberFormat="1" applyFont="1" applyBorder="1" applyAlignment="1">
      <alignment horizontal="center" vertical="center"/>
    </xf>
    <xf numFmtId="195" fontId="28" fillId="0" borderId="12" xfId="0" applyNumberFormat="1" applyFont="1" applyBorder="1" applyAlignment="1">
      <alignment horizontal="center" vertical="center"/>
    </xf>
    <xf numFmtId="183" fontId="28" fillId="0" borderId="12" xfId="0" applyNumberFormat="1" applyFont="1" applyBorder="1" applyAlignment="1">
      <alignment horizontal="center" vertical="center"/>
    </xf>
    <xf numFmtId="179" fontId="28" fillId="0" borderId="28" xfId="0" applyNumberFormat="1" applyFont="1" applyBorder="1" applyAlignment="1">
      <alignment horizontal="center" vertical="center"/>
    </xf>
    <xf numFmtId="178" fontId="1" fillId="14" borderId="140" xfId="0" applyNumberFormat="1" applyFont="1" applyFill="1" applyBorder="1" applyAlignment="1">
      <alignment horizontal="center" vertical="center"/>
    </xf>
    <xf numFmtId="178" fontId="37" fillId="3" borderId="44" xfId="0" applyNumberFormat="1" applyFont="1" applyFill="1" applyBorder="1" applyAlignment="1">
      <alignment horizontal="center" vertical="center"/>
    </xf>
    <xf numFmtId="178" fontId="37" fillId="3" borderId="47" xfId="0" applyNumberFormat="1" applyFont="1" applyFill="1" applyBorder="1" applyAlignment="1">
      <alignment horizontal="center" vertical="center"/>
    </xf>
    <xf numFmtId="0" fontId="37" fillId="3" borderId="9" xfId="0" applyFont="1" applyFill="1" applyBorder="1" applyAlignment="1">
      <alignment horizontal="center" vertical="center"/>
    </xf>
    <xf numFmtId="0" fontId="37" fillId="3" borderId="44" xfId="0" applyFont="1" applyFill="1" applyBorder="1" applyAlignment="1">
      <alignment horizontal="center" vertical="center"/>
    </xf>
    <xf numFmtId="0" fontId="37" fillId="3" borderId="11" xfId="0" applyFont="1" applyFill="1" applyBorder="1" applyAlignment="1">
      <alignment horizontal="center" vertical="center"/>
    </xf>
    <xf numFmtId="180" fontId="37" fillId="3" borderId="9" xfId="0" applyNumberFormat="1" applyFont="1" applyFill="1" applyBorder="1" applyAlignment="1">
      <alignment horizontal="center" vertical="center"/>
    </xf>
    <xf numFmtId="0" fontId="30" fillId="3" borderId="38" xfId="0" applyFont="1" applyFill="1" applyBorder="1" applyAlignment="1">
      <alignment horizontal="center" vertical="center"/>
    </xf>
    <xf numFmtId="0" fontId="30" fillId="3" borderId="76" xfId="0" applyFont="1" applyFill="1" applyBorder="1" applyAlignment="1">
      <alignment horizontal="center" vertical="center"/>
    </xf>
    <xf numFmtId="0" fontId="34" fillId="3" borderId="76" xfId="0" applyFont="1" applyFill="1" applyBorder="1" applyAlignment="1">
      <alignment horizontal="center" vertical="center"/>
    </xf>
    <xf numFmtId="0" fontId="36" fillId="3" borderId="76" xfId="0" applyFont="1" applyFill="1" applyBorder="1" applyAlignment="1">
      <alignment horizontal="center" vertical="center"/>
    </xf>
    <xf numFmtId="183" fontId="37" fillId="3" borderId="11" xfId="0" applyNumberFormat="1" applyFont="1" applyFill="1" applyBorder="1" applyAlignment="1">
      <alignment horizontal="center" vertical="center"/>
    </xf>
    <xf numFmtId="0" fontId="38" fillId="3" borderId="11" xfId="0" applyFont="1" applyFill="1" applyBorder="1" applyAlignment="1">
      <alignment horizontal="center" vertical="center"/>
    </xf>
  </cellXfs>
  <cellStyles count="6">
    <cellStyle name="백분율 2" xfId="2"/>
    <cellStyle name="쉼표 [0] 2" xfId="4"/>
    <cellStyle name="표준" xfId="0" builtinId="0"/>
    <cellStyle name="표준 2" xfId="1"/>
    <cellStyle name="표준 2 2" xfId="3"/>
    <cellStyle name="표준 3" xfId="5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fmlaLink="#REF!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fmlaLink="#REF!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fmlaLink="#REF!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fmlaLink="#REF!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fmlaLink="#REF!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fmlaLink="#REF!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fmlaLink="#REF!" lockText="1" noThreeD="1"/>
</file>

<file path=xl/ctrlProps/ctrlProp16.xml><?xml version="1.0" encoding="utf-8"?>
<formControlPr xmlns="http://schemas.microsoft.com/office/spreadsheetml/2009/9/main" objectType="CheckBox" checked="Checked" fmlaLink="#REF!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0</xdr:colOff>
      <xdr:row>50</xdr:row>
      <xdr:rowOff>0</xdr:rowOff>
    </xdr:from>
    <xdr:ext cx="1257300" cy="1438275"/>
    <xdr:pic>
      <xdr:nvPicPr>
        <xdr:cNvPr id="3" name="image2.pn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628788</xdr:colOff>
      <xdr:row>9</xdr:row>
      <xdr:rowOff>171879</xdr:rowOff>
    </xdr:from>
    <xdr:ext cx="2337953" cy="2048420"/>
    <xdr:grpSp>
      <xdr:nvGrpSpPr>
        <xdr:cNvPr id="4" name="그룹 1"/>
        <xdr:cNvGrpSpPr>
          <a:grpSpLocks/>
        </xdr:cNvGrpSpPr>
      </xdr:nvGrpSpPr>
      <xdr:grpSpPr bwMode="auto">
        <a:xfrm>
          <a:off x="7919743" y="2683015"/>
          <a:ext cx="2337953" cy="2048420"/>
          <a:chOff x="2419350" y="2773933"/>
          <a:chExt cx="1257300" cy="1036067"/>
        </a:xfrm>
      </xdr:grpSpPr>
      <xdr:sp macro="" textlink="">
        <xdr:nvSpPr>
          <xdr:cNvPr id="5" name="Oval 19"/>
          <xdr:cNvSpPr>
            <a:spLocks noChangeArrowheads="1"/>
          </xdr:cNvSpPr>
        </xdr:nvSpPr>
        <xdr:spPr bwMode="auto">
          <a:xfrm>
            <a:off x="2428875" y="2773933"/>
            <a:ext cx="1076325" cy="1036067"/>
          </a:xfrm>
          <a:prstGeom prst="ellipse">
            <a:avLst/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20"/>
          <xdr:cNvSpPr>
            <a:spLocks noChangeShapeType="1"/>
          </xdr:cNvSpPr>
        </xdr:nvSpPr>
        <xdr:spPr bwMode="auto">
          <a:xfrm>
            <a:off x="2419350" y="3305175"/>
            <a:ext cx="12573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/>
        </xdr:spPr>
      </xdr:sp>
      <xdr:sp macro="" textlink="">
        <xdr:nvSpPr>
          <xdr:cNvPr id="7" name="Line 21"/>
          <xdr:cNvSpPr>
            <a:spLocks noChangeShapeType="1"/>
          </xdr:cNvSpPr>
        </xdr:nvSpPr>
        <xdr:spPr bwMode="auto">
          <a:xfrm>
            <a:off x="3676650" y="3238500"/>
            <a:ext cx="0" cy="12382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/>
        </xdr:spPr>
      </xdr:sp>
      <xdr:cxnSp macro="">
        <xdr:nvCxnSpPr>
          <xdr:cNvPr id="8" name="직선 연결선 2"/>
          <xdr:cNvCxnSpPr>
            <a:cxnSpLocks noChangeShapeType="1"/>
            <a:stCxn id="5" idx="4"/>
            <a:endCxn id="5" idx="0"/>
          </xdr:cNvCxnSpPr>
        </xdr:nvCxnSpPr>
        <xdr:spPr bwMode="auto">
          <a:xfrm flipV="1">
            <a:off x="2967038" y="2773933"/>
            <a:ext cx="0" cy="1036067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ffectLst/>
          <a:extLst/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22225</xdr:colOff>
      <xdr:row>4</xdr:row>
      <xdr:rowOff>12699</xdr:rowOff>
    </xdr:from>
    <xdr:ext cx="5505451" cy="6715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𝑚𝑎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𝑉𝑚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 × 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273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273+</m:t>
                            </m:r>
                            <m:r>
                              <a:rPr lang="ko-KR" altLang="en-US" sz="1100" b="0" i="1">
                                <a:latin typeface="Cambria Math"/>
                              </a:rPr>
                              <m:t>𝜃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𝑚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𝑃𝑎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𝑃𝑚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760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𝑚𝑎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𝑋𝑤=(22.4/18  𝑚𝑎)/(𝑉𝑚 × 273/(273+</a:t>
              </a:r>
              <a:r>
                <a:rPr lang="ko-KR" altLang="en-US" sz="1100" b="0" i="0">
                  <a:latin typeface="Cambria Math"/>
                </a:rPr>
                <a:t>𝜃</a:t>
              </a:r>
              <a:r>
                <a:rPr lang="en-US" altLang="ko-KR" sz="1100" b="0" i="0">
                  <a:latin typeface="Cambria Math"/>
                </a:rPr>
                <a:t>𝑚)</a:t>
              </a:r>
              <a:r>
                <a:rPr lang="en-US" altLang="ko-KR" sz="1100" b="0" i="0">
                  <a:latin typeface="Cambria Math"/>
                  <a:ea typeface="Cambria Math"/>
                </a:rPr>
                <a:t>×(𝑃𝑎+𝑃𝑚)/760+22.4/18  𝑚𝑎)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5603</xdr:colOff>
      <xdr:row>4</xdr:row>
      <xdr:rowOff>11206</xdr:rowOff>
    </xdr:from>
    <xdr:ext cx="6706721" cy="6803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3+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4+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den>
                    </m:f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𝑋𝑤=(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𝑋𝑤1+𝑋𝑤2+𝑋𝑤3+𝑋𝑤4+𝑋𝑤5)/5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0</xdr:col>
      <xdr:colOff>100852</xdr:colOff>
      <xdr:row>17</xdr:row>
      <xdr:rowOff>95250</xdr:rowOff>
    </xdr:from>
    <xdr:ext cx="5569323" cy="6762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273+</m:t>
                        </m:r>
                        <m:r>
                          <a:rPr lang="ko-KR" altLang="en-US" sz="1100" b="0" i="1">
                            <a:latin typeface="Cambria Math"/>
                            <a:ea typeface="Cambria Math"/>
                          </a:rPr>
                          <m:t>𝜃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𝑟=𝑟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×273/(273+</a:t>
              </a:r>
              <a:r>
                <a:rPr lang="ko-KR" altLang="en-US" sz="1100" b="0" i="0">
                  <a:latin typeface="Cambria Math"/>
                  <a:ea typeface="Cambria Math"/>
                </a:rPr>
                <a:t>𝜃</a:t>
              </a:r>
              <a:r>
                <a:rPr lang="en-US" altLang="ko-KR" sz="1100" b="0" i="0">
                  <a:latin typeface="Cambria Math"/>
                  <a:ea typeface="Cambria Math"/>
                </a:rPr>
                <a:t>𝑠)×(𝑃𝑎+𝑃𝑠)/760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11206</xdr:colOff>
      <xdr:row>17</xdr:row>
      <xdr:rowOff>111126</xdr:rowOff>
    </xdr:from>
    <xdr:ext cx="6701118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22.4×100</m:t>
                        </m:r>
                      </m:den>
                    </m:f>
                    <m:d>
                      <m:dPr>
                        <m:begChr m:val="{"/>
                        <m:endChr m:val="}"/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+…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𝑀𝑛𝑋𝑛</m:t>
                            </m:r>
                          </m:e>
                        </m:d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100−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𝑋𝑤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+18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𝑋𝑤</m:t>
                        </m:r>
                      </m:e>
                    </m: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=1/(22.4×100) {(𝑀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+𝑀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+…𝑀𝑛𝑋𝑛)×(100−𝑋𝑤)/100+18𝑋𝑤}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15875</xdr:colOff>
      <xdr:row>29</xdr:row>
      <xdr:rowOff>63500</xdr:rowOff>
    </xdr:from>
    <xdr:ext cx="5542243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𝐶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𝑔h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𝑟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𝑣=𝐶√(2𝑔ℎ/𝑟)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0</xdr:colOff>
      <xdr:row>29</xdr:row>
      <xdr:rowOff>79375</xdr:rowOff>
    </xdr:from>
    <xdr:ext cx="672353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𝑉𝑖𝑐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𝑉𝑠</m:t>
                    </m:r>
                    <m:r>
                      <a:rPr lang="en-US" altLang="ko-KR" sz="1100" b="0" i="1">
                        <a:latin typeface="Cambria Math"/>
                      </a:rPr>
                      <m:t>(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100−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)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18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𝑉𝑖𝑐=𝑉𝑠(𝑋𝑤/(100−𝑋𝑤))</a:t>
              </a:r>
              <a:r>
                <a:rPr lang="en-US" altLang="ko-KR" sz="1100" b="0" i="0">
                  <a:latin typeface="Cambria Math"/>
                  <a:ea typeface="Cambria Math"/>
                </a:rPr>
                <a:t>×18/22.4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11206</xdr:colOff>
      <xdr:row>41</xdr:row>
      <xdr:rowOff>100853</xdr:rowOff>
    </xdr:from>
    <xdr:ext cx="548640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𝐼</m:t>
                    </m:r>
                    <m:d>
                      <m:d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/>
                          </a:rPr>
                          <m:t>%</m:t>
                        </m:r>
                      </m:e>
                    </m:d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</a:rPr>
                              <m:t>𝑠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</a:rPr>
                          <m:t>[0.00346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𝑉𝑖𝑐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𝑉</m:t>
                                </m:r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`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×(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𝑎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∆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𝐻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13.6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)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]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`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𝑠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𝐴𝑛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×1.667×</m:t>
                    </m:r>
                    <m:sSup>
                      <m:sSup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</m:t>
                        </m:r>
                      </m:e>
                      <m:sup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4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𝐼(%)=(𝑇_𝑠 [0.00346 𝑉𝑖𝑐</a:t>
              </a:r>
              <a:r>
                <a:rPr lang="en-US" altLang="ko-KR" sz="1100" b="0" i="0">
                  <a:latin typeface="Cambria Math"/>
                  <a:ea typeface="Cambria Math"/>
                </a:rPr>
                <a:t>+〖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𝑉`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〗_</a:t>
              </a:r>
              <a:r>
                <a:rPr lang="en-US" altLang="ko-KR" sz="1100" b="0" i="0">
                  <a:latin typeface="Cambria Math"/>
                  <a:ea typeface="Cambria Math"/>
                </a:rPr>
                <a:t>𝑚/𝑇_𝑚 ×(𝑃_𝑎+∆𝐻/13.6) </a:t>
              </a:r>
              <a:r>
                <a:rPr lang="en-US" altLang="ko-KR" sz="1100" b="0" i="0">
                  <a:latin typeface="Cambria Math"/>
                </a:rPr>
                <a:t>])/(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𝑃`𝑠∙𝑡∙𝑣∙𝐴𝑛)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×1.667×〖10〗^4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11207</xdr:colOff>
      <xdr:row>41</xdr:row>
      <xdr:rowOff>78440</xdr:rowOff>
    </xdr:from>
    <xdr:ext cx="3597087" cy="537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𝐴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𝑇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×(1−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)×3600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𝑄𝑎=𝑣</a:t>
              </a:r>
              <a:r>
                <a:rPr lang="en-US" altLang="ko-KR" sz="1100" b="0" i="0">
                  <a:latin typeface="Cambria Math"/>
                  <a:ea typeface="Cambria Math"/>
                </a:rPr>
                <a:t>×𝐴×273/𝑇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𝑠</a:t>
              </a:r>
              <a:r>
                <a:rPr lang="en-US" altLang="ko-KR" sz="1100" b="0" i="0">
                  <a:latin typeface="Cambria Math"/>
                  <a:ea typeface="Cambria Math"/>
                </a:rPr>
                <a:t>×(𝑃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𝑎</a:t>
              </a:r>
              <a:r>
                <a:rPr lang="en-US" altLang="ko-KR" sz="1100" b="0" i="0">
                  <a:latin typeface="Cambria Math"/>
                  <a:ea typeface="Cambria Math"/>
                </a:rPr>
                <a:t>+𝑃𝑠)/760×(1−𝑋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𝑤/</a:t>
              </a:r>
              <a:r>
                <a:rPr lang="en-US" altLang="ko-KR" sz="1100" b="0" i="0">
                  <a:latin typeface="Cambria Math"/>
                  <a:ea typeface="Cambria Math"/>
                </a:rPr>
                <a:t>100)×3600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17</xdr:col>
      <xdr:colOff>270623</xdr:colOff>
      <xdr:row>41</xdr:row>
      <xdr:rowOff>82363</xdr:rowOff>
    </xdr:from>
    <xdr:ext cx="3113553" cy="533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÷</m:t>
                    </m:r>
                    <m:f>
                      <m:fPr>
                        <m:ctrlP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𝑂𝑠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𝑂𝑎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𝑄=𝑄𝑎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÷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(21−𝑂𝑠)/(21−𝑂𝑎)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3</xdr:row>
      <xdr:rowOff>0</xdr:rowOff>
    </xdr:from>
    <xdr:ext cx="2305050" cy="2343150"/>
    <xdr:sp macro="" textlink="">
      <xdr:nvSpPr>
        <xdr:cNvPr id="2" name="타원 1"/>
        <xdr:cNvSpPr/>
      </xdr:nvSpPr>
      <xdr:spPr>
        <a:xfrm>
          <a:off x="3850821" y="1347107"/>
          <a:ext cx="3292928" cy="2939143"/>
        </a:xfrm>
        <a:prstGeom prst="ellipse">
          <a:avLst/>
        </a:prstGeom>
        <a:noFill/>
        <a:ln w="12700" cap="flat" cmpd="sng" algn="ctr">
          <a:solidFill>
            <a:schemeClr val="tx1"/>
          </a:solidFill>
          <a:prstDash val="solid"/>
          <a:miter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  <xdr:oneCellAnchor>
    <xdr:from>
      <xdr:col>10</xdr:col>
      <xdr:colOff>314325</xdr:colOff>
      <xdr:row>2</xdr:row>
      <xdr:rowOff>85725</xdr:rowOff>
    </xdr:from>
    <xdr:ext cx="304800" cy="219075"/>
    <xdr:sp macro="" textlink="">
      <xdr:nvSpPr>
        <xdr:cNvPr id="3" name="TextBox 2"/>
        <xdr:cNvSpPr txBox="1"/>
      </xdr:nvSpPr>
      <xdr:spPr>
        <a:xfrm rot="10800000">
          <a:off x="5347607" y="1061357"/>
          <a:ext cx="462642" cy="285750"/>
        </a:xfrm>
        <a:prstGeom prst="rect">
          <a:avLst/>
        </a:prstGeom>
        <a:noFill/>
        <a:ln w="158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6/20240516-01%20&#49688;&#47532;&#52285;%20&#46020;&#44552;&#48152;%20&#55137;&#49688;&#50640;&#51032;&#54620;&#49884;&#49444;%20500%20CM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7/20240517-05%20&#54868;&#51109;&#47196;%205&#54840;&#445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6-01 수리창 도금반 흡수에의한시설 500"/>
    </sheetNames>
    <definedNames>
      <definedName name="확인란2_Click"/>
    </definedNames>
    <sheetDataSet>
      <sheetData sheetId="0"/>
      <sheetData sheetId="1"/>
      <sheetData sheetId="2">
        <row r="103">
          <cell r="L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7-05 화장로 5호기"/>
    </sheetNames>
    <definedNames>
      <definedName name="확인란2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7CAAC"/>
    <pageSetUpPr fitToPage="1"/>
  </sheetPr>
  <dimension ref="A1:S68"/>
  <sheetViews>
    <sheetView tabSelected="1" view="pageBreakPreview" topLeftCell="E1" zoomScale="55" zoomScaleNormal="70" zoomScaleSheetLayoutView="55" workbookViewId="0">
      <selection activeCell="X21" sqref="X21"/>
    </sheetView>
  </sheetViews>
  <sheetFormatPr defaultRowHeight="15" customHeight="1"/>
  <cols>
    <col min="1" max="4" width="9" style="277"/>
    <col min="5" max="5" width="8.875" customWidth="1"/>
    <col min="6" max="6" width="12.5" customWidth="1"/>
    <col min="7" max="7" width="10.875" customWidth="1"/>
    <col min="8" max="8" width="12.625" customWidth="1"/>
    <col min="9" max="9" width="14.375" customWidth="1"/>
    <col min="10" max="10" width="9.625" customWidth="1"/>
    <col min="11" max="11" width="11.625" customWidth="1"/>
    <col min="12" max="12" width="9.625" customWidth="1"/>
    <col min="13" max="13" width="10.625" customWidth="1"/>
    <col min="14" max="14" width="8.875" customWidth="1"/>
    <col min="15" max="15" width="10.375" customWidth="1"/>
    <col min="16" max="16" width="21.625" customWidth="1"/>
    <col min="17" max="17" width="10.125" customWidth="1"/>
    <col min="18" max="18" width="12.125" customWidth="1"/>
    <col min="19" max="19" width="8.75" customWidth="1"/>
  </cols>
  <sheetData>
    <row r="1" spans="5:19" ht="16.5" customHeight="1" thickBot="1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5:19" ht="27.75" customHeight="1">
      <c r="E2" s="389" t="s">
        <v>412</v>
      </c>
      <c r="F2" s="390"/>
      <c r="G2" s="404"/>
      <c r="H2" s="405"/>
      <c r="I2" s="365" t="s">
        <v>386</v>
      </c>
      <c r="J2" s="406"/>
      <c r="K2" s="406"/>
      <c r="L2" s="406"/>
      <c r="M2" s="406"/>
      <c r="N2" s="366"/>
      <c r="O2" s="365" t="s">
        <v>2</v>
      </c>
      <c r="P2" s="366"/>
      <c r="Q2" s="367"/>
      <c r="R2" s="368"/>
      <c r="S2" s="1"/>
    </row>
    <row r="3" spans="5:19" ht="27.75" customHeight="1">
      <c r="E3" s="391" t="s">
        <v>3</v>
      </c>
      <c r="F3" s="336"/>
      <c r="G3" s="395"/>
      <c r="H3" s="396"/>
      <c r="I3" s="396"/>
      <c r="J3" s="396"/>
      <c r="K3" s="396"/>
      <c r="L3" s="396"/>
      <c r="M3" s="397"/>
      <c r="N3" s="393" t="s">
        <v>410</v>
      </c>
      <c r="O3" s="362"/>
      <c r="P3" s="362"/>
      <c r="Q3" s="362"/>
      <c r="R3" s="363"/>
      <c r="S3" s="1"/>
    </row>
    <row r="4" spans="5:19" ht="17.25" customHeight="1">
      <c r="E4" s="392"/>
      <c r="F4" s="340"/>
      <c r="G4" s="407"/>
      <c r="H4" s="408"/>
      <c r="I4" s="408"/>
      <c r="J4" s="408"/>
      <c r="K4" s="408"/>
      <c r="L4" s="408"/>
      <c r="M4" s="409"/>
      <c r="N4" s="355" t="s">
        <v>7</v>
      </c>
      <c r="O4" s="328"/>
      <c r="P4" s="394" t="s">
        <v>8</v>
      </c>
      <c r="Q4" s="362"/>
      <c r="R4" s="363"/>
      <c r="S4" s="1"/>
    </row>
    <row r="5" spans="5:19" ht="17.25" customHeight="1">
      <c r="E5" s="412" t="s">
        <v>402</v>
      </c>
      <c r="F5" s="413"/>
      <c r="G5" s="395"/>
      <c r="H5" s="396"/>
      <c r="I5" s="396"/>
      <c r="J5" s="396"/>
      <c r="K5" s="396"/>
      <c r="L5" s="396"/>
      <c r="M5" s="397"/>
      <c r="N5" s="345" t="s">
        <v>415</v>
      </c>
      <c r="O5" s="346"/>
      <c r="P5" s="4" t="s">
        <v>416</v>
      </c>
      <c r="Q5" s="345" t="s">
        <v>413</v>
      </c>
      <c r="R5" s="363"/>
      <c r="S5" s="1"/>
    </row>
    <row r="6" spans="5:19" ht="24.75" customHeight="1">
      <c r="E6" s="414"/>
      <c r="F6" s="415"/>
      <c r="G6" s="398"/>
      <c r="H6" s="399"/>
      <c r="I6" s="399"/>
      <c r="J6" s="399"/>
      <c r="K6" s="399"/>
      <c r="L6" s="399"/>
      <c r="M6" s="400"/>
      <c r="N6" s="347"/>
      <c r="O6" s="348"/>
      <c r="P6" s="343"/>
      <c r="Q6" s="358"/>
      <c r="R6" s="359"/>
      <c r="S6" s="1"/>
    </row>
    <row r="7" spans="5:19" ht="24.75" customHeight="1" thickBot="1">
      <c r="E7" s="410" t="s">
        <v>414</v>
      </c>
      <c r="F7" s="411"/>
      <c r="G7" s="224"/>
      <c r="H7" s="252" t="s">
        <v>15</v>
      </c>
      <c r="I7" s="225"/>
      <c r="J7" s="5" t="s">
        <v>16</v>
      </c>
      <c r="K7" s="401" t="str">
        <f>IF(G18&gt;0,"원형 ■       사각형 □ ","원형 □       사각형 ■ ")</f>
        <v xml:space="preserve">원형 □       사각형 ■ </v>
      </c>
      <c r="L7" s="402"/>
      <c r="M7" s="403"/>
      <c r="N7" s="349"/>
      <c r="O7" s="350"/>
      <c r="P7" s="344"/>
      <c r="Q7" s="360"/>
      <c r="R7" s="361"/>
      <c r="S7" s="1"/>
    </row>
    <row r="8" spans="5:19" ht="15" customHeight="1">
      <c r="E8" s="423"/>
      <c r="F8" s="424"/>
      <c r="G8" s="424"/>
      <c r="H8" s="424"/>
      <c r="I8" s="424"/>
      <c r="J8" s="424"/>
      <c r="K8" s="424"/>
      <c r="L8" s="424"/>
      <c r="M8" s="424"/>
      <c r="N8" s="424"/>
      <c r="O8" s="424"/>
      <c r="P8" s="424"/>
      <c r="Q8" s="424"/>
      <c r="R8" s="424"/>
      <c r="S8" s="1"/>
    </row>
    <row r="9" spans="5:19" ht="27.75" customHeight="1" thickBot="1">
      <c r="E9" s="418" t="s">
        <v>20</v>
      </c>
      <c r="F9" s="419"/>
      <c r="G9" s="419"/>
      <c r="H9" s="419"/>
      <c r="I9" s="419"/>
      <c r="J9" s="419"/>
      <c r="K9" s="419"/>
      <c r="L9" s="419"/>
      <c r="M9" s="419"/>
      <c r="N9" s="419"/>
      <c r="O9" s="419"/>
      <c r="P9" s="419"/>
      <c r="Q9" s="419"/>
      <c r="R9" s="419"/>
      <c r="S9" s="1"/>
    </row>
    <row r="10" spans="5:19" ht="31.5" customHeight="1">
      <c r="E10" s="420" t="s">
        <v>23</v>
      </c>
      <c r="F10" s="417"/>
      <c r="G10" s="421"/>
      <c r="H10" s="422"/>
      <c r="I10" s="211"/>
      <c r="J10" s="375"/>
      <c r="K10" s="376"/>
      <c r="L10" s="375"/>
      <c r="M10" s="376"/>
      <c r="N10" s="416" t="s">
        <v>25</v>
      </c>
      <c r="O10" s="417"/>
      <c r="P10" s="377"/>
      <c r="Q10" s="378"/>
      <c r="R10" s="212"/>
      <c r="S10" s="1"/>
    </row>
    <row r="11" spans="5:19" ht="31.5" customHeight="1">
      <c r="E11" s="327" t="s">
        <v>28</v>
      </c>
      <c r="F11" s="328"/>
      <c r="G11" s="357"/>
      <c r="H11" s="333"/>
      <c r="I11" s="213"/>
      <c r="J11" s="337"/>
      <c r="K11" s="338"/>
      <c r="L11" s="337"/>
      <c r="M11" s="338"/>
      <c r="N11" s="379" t="s">
        <v>421</v>
      </c>
      <c r="O11" s="340"/>
      <c r="P11" s="354"/>
      <c r="Q11" s="330"/>
      <c r="R11" s="214"/>
      <c r="S11" s="1"/>
    </row>
    <row r="12" spans="5:19" ht="31.5" customHeight="1">
      <c r="E12" s="327" t="s">
        <v>33</v>
      </c>
      <c r="F12" s="328"/>
      <c r="G12" s="329"/>
      <c r="H12" s="330"/>
      <c r="I12" s="331"/>
      <c r="J12" s="339"/>
      <c r="K12" s="340"/>
      <c r="L12" s="339"/>
      <c r="M12" s="340"/>
      <c r="N12" s="379" t="s">
        <v>420</v>
      </c>
      <c r="O12" s="340"/>
      <c r="P12" s="351"/>
      <c r="Q12" s="352"/>
      <c r="R12" s="214"/>
      <c r="S12" s="1"/>
    </row>
    <row r="13" spans="5:19" ht="31.5" customHeight="1">
      <c r="E13" s="327" t="s">
        <v>36</v>
      </c>
      <c r="F13" s="328"/>
      <c r="G13" s="332"/>
      <c r="H13" s="333"/>
      <c r="I13" s="334"/>
      <c r="J13" s="335"/>
      <c r="K13" s="336"/>
      <c r="L13" s="335"/>
      <c r="M13" s="336"/>
      <c r="N13" s="379" t="s">
        <v>423</v>
      </c>
      <c r="O13" s="340"/>
      <c r="P13" s="351"/>
      <c r="Q13" s="353"/>
      <c r="R13" s="279"/>
      <c r="S13" s="1"/>
    </row>
    <row r="14" spans="5:19" ht="31.5" customHeight="1">
      <c r="E14" s="327" t="s">
        <v>39</v>
      </c>
      <c r="F14" s="328"/>
      <c r="G14" s="332"/>
      <c r="H14" s="333"/>
      <c r="I14" s="218"/>
      <c r="J14" s="337"/>
      <c r="K14" s="338"/>
      <c r="L14" s="337"/>
      <c r="M14" s="338"/>
      <c r="N14" s="355" t="s">
        <v>49</v>
      </c>
      <c r="O14" s="328"/>
      <c r="P14" s="351"/>
      <c r="Q14" s="352"/>
      <c r="R14" s="214"/>
      <c r="S14" s="1"/>
    </row>
    <row r="15" spans="5:19" ht="31.5" customHeight="1">
      <c r="E15" s="327" t="s">
        <v>43</v>
      </c>
      <c r="F15" s="328"/>
      <c r="G15" s="329"/>
      <c r="H15" s="330"/>
      <c r="I15" s="331"/>
      <c r="J15" s="339"/>
      <c r="K15" s="340"/>
      <c r="L15" s="339"/>
      <c r="M15" s="340"/>
      <c r="N15" s="356" t="s">
        <v>56</v>
      </c>
      <c r="O15" s="328"/>
      <c r="P15" s="351"/>
      <c r="Q15" s="352"/>
      <c r="R15" s="214"/>
      <c r="S15" s="1"/>
    </row>
    <row r="16" spans="5:19" ht="39.75" customHeight="1">
      <c r="E16" s="369" t="s">
        <v>419</v>
      </c>
      <c r="F16" s="328"/>
      <c r="G16" s="471"/>
      <c r="H16" s="472"/>
      <c r="I16" s="473"/>
      <c r="J16" s="215" t="s">
        <v>48</v>
      </c>
      <c r="K16" s="380" t="str">
        <f>IFERROR(#REF!/1000,"")</f>
        <v/>
      </c>
      <c r="L16" s="381"/>
      <c r="M16" s="217" t="str">
        <f>IF(K16="","","m")</f>
        <v/>
      </c>
      <c r="N16" s="355" t="s">
        <v>422</v>
      </c>
      <c r="O16" s="328"/>
      <c r="P16" s="382"/>
      <c r="Q16" s="330"/>
      <c r="R16" s="214"/>
      <c r="S16" s="1"/>
    </row>
    <row r="17" spans="5:19" ht="31.5" customHeight="1">
      <c r="E17" s="327" t="s">
        <v>53</v>
      </c>
      <c r="F17" s="328"/>
      <c r="G17" s="341"/>
      <c r="H17" s="342"/>
      <c r="I17" s="209"/>
      <c r="J17" s="215" t="s">
        <v>55</v>
      </c>
      <c r="K17" s="380" t="str">
        <f>IFERROR(#REF!/1000,"")</f>
        <v/>
      </c>
      <c r="L17" s="381"/>
      <c r="M17" s="217" t="str">
        <f>IF(K17="","","m")</f>
        <v/>
      </c>
      <c r="N17" s="356" t="s">
        <v>424</v>
      </c>
      <c r="O17" s="328"/>
      <c r="P17" s="382"/>
      <c r="Q17" s="388"/>
      <c r="R17" s="214"/>
      <c r="S17" s="1"/>
    </row>
    <row r="18" spans="5:19" ht="31.5" customHeight="1">
      <c r="E18" s="474" t="s">
        <v>404</v>
      </c>
      <c r="F18" s="475"/>
      <c r="G18" s="354"/>
      <c r="H18" s="330"/>
      <c r="I18" s="209"/>
      <c r="J18" s="215" t="s">
        <v>60</v>
      </c>
      <c r="K18" s="380" t="str">
        <f>IFERROR(#REF!/1000,"")</f>
        <v/>
      </c>
      <c r="L18" s="381"/>
      <c r="M18" s="217" t="str">
        <f>IF(K18="","","m")</f>
        <v/>
      </c>
      <c r="N18" s="364" t="s">
        <v>449</v>
      </c>
      <c r="O18" s="427"/>
      <c r="P18" s="428"/>
      <c r="Q18" s="364" t="s">
        <v>417</v>
      </c>
      <c r="R18" s="431"/>
      <c r="S18" s="1"/>
    </row>
    <row r="19" spans="5:19" ht="31.5" customHeight="1">
      <c r="E19" s="476"/>
      <c r="F19" s="468"/>
      <c r="G19" s="256"/>
      <c r="H19" s="250"/>
      <c r="I19" s="244"/>
      <c r="J19" s="215" t="s">
        <v>62</v>
      </c>
      <c r="K19" s="380" t="str">
        <f>IFERROR(#REF!/1000,"")</f>
        <v/>
      </c>
      <c r="L19" s="381"/>
      <c r="M19" s="217" t="str">
        <f>IF(K19="","","m")</f>
        <v/>
      </c>
      <c r="N19" s="429"/>
      <c r="O19" s="379"/>
      <c r="P19" s="430"/>
      <c r="Q19" s="429"/>
      <c r="R19" s="432"/>
      <c r="S19" s="1"/>
    </row>
    <row r="20" spans="5:19" ht="31.5" customHeight="1">
      <c r="E20" s="327" t="s">
        <v>397</v>
      </c>
      <c r="F20" s="356"/>
      <c r="G20" s="356"/>
      <c r="H20" s="440" t="s">
        <v>398</v>
      </c>
      <c r="I20" s="441"/>
      <c r="J20" s="215" t="s">
        <v>63</v>
      </c>
      <c r="K20" s="380" t="str">
        <f>IFERROR(#REF!/1000,"")</f>
        <v/>
      </c>
      <c r="L20" s="381"/>
      <c r="M20" s="217" t="str">
        <f>IF(K20="","","m")</f>
        <v/>
      </c>
      <c r="N20" s="355" t="s">
        <v>64</v>
      </c>
      <c r="O20" s="328"/>
      <c r="P20" s="227"/>
      <c r="Q20" s="433"/>
      <c r="R20" s="434"/>
      <c r="S20" s="1"/>
    </row>
    <row r="21" spans="5:19" ht="31.5" customHeight="1">
      <c r="E21" s="327" t="s">
        <v>67</v>
      </c>
      <c r="F21" s="328"/>
      <c r="G21" s="245"/>
      <c r="H21" s="442"/>
      <c r="I21" s="443"/>
      <c r="J21" s="210"/>
      <c r="K21" s="394"/>
      <c r="L21" s="362"/>
      <c r="M21" s="328"/>
      <c r="N21" s="364" t="s">
        <v>68</v>
      </c>
      <c r="O21" s="336"/>
      <c r="P21" s="227"/>
      <c r="Q21" s="435"/>
      <c r="R21" s="436"/>
      <c r="S21" s="1"/>
    </row>
    <row r="22" spans="5:19" ht="31.5" customHeight="1">
      <c r="E22" s="369" t="s">
        <v>70</v>
      </c>
      <c r="F22" s="328"/>
      <c r="G22" s="246"/>
      <c r="H22" s="444"/>
      <c r="I22" s="445"/>
      <c r="J22" s="373" t="s">
        <v>442</v>
      </c>
      <c r="K22" s="374"/>
      <c r="L22" s="486"/>
      <c r="M22" s="328"/>
      <c r="N22" s="355" t="s">
        <v>71</v>
      </c>
      <c r="O22" s="328"/>
      <c r="P22" s="219"/>
      <c r="Q22" s="437"/>
      <c r="R22" s="438"/>
      <c r="S22" s="1"/>
    </row>
    <row r="23" spans="5:19" ht="31.5" customHeight="1">
      <c r="E23" s="369" t="s">
        <v>73</v>
      </c>
      <c r="F23" s="328"/>
      <c r="G23" s="246"/>
      <c r="H23" s="444"/>
      <c r="I23" s="445"/>
      <c r="J23" s="373"/>
      <c r="K23" s="374"/>
      <c r="L23" s="439"/>
      <c r="M23" s="328"/>
      <c r="N23" s="355" t="s">
        <v>74</v>
      </c>
      <c r="O23" s="362"/>
      <c r="P23" s="362"/>
      <c r="Q23" s="362"/>
      <c r="R23" s="363"/>
      <c r="S23" s="1"/>
    </row>
    <row r="24" spans="5:19" ht="31.5" customHeight="1">
      <c r="E24" s="369" t="s">
        <v>75</v>
      </c>
      <c r="F24" s="328"/>
      <c r="G24" s="246"/>
      <c r="H24" s="444"/>
      <c r="I24" s="445"/>
      <c r="J24" s="373" t="s">
        <v>444</v>
      </c>
      <c r="K24" s="373"/>
      <c r="L24" s="439"/>
      <c r="M24" s="328"/>
      <c r="N24" s="355" t="s">
        <v>64</v>
      </c>
      <c r="O24" s="328"/>
      <c r="P24" s="370"/>
      <c r="Q24" s="371"/>
      <c r="R24" s="372"/>
      <c r="S24" s="1"/>
    </row>
    <row r="25" spans="5:19" ht="31.5" customHeight="1">
      <c r="E25" s="369" t="s">
        <v>78</v>
      </c>
      <c r="F25" s="328"/>
      <c r="G25" s="247"/>
      <c r="H25" s="446"/>
      <c r="I25" s="447"/>
      <c r="J25" s="449" t="s">
        <v>445</v>
      </c>
      <c r="K25" s="373"/>
      <c r="L25" s="439" t="str">
        <f>등속계산!U57</f>
        <v/>
      </c>
      <c r="M25" s="448"/>
      <c r="N25" s="364" t="s">
        <v>68</v>
      </c>
      <c r="O25" s="336"/>
      <c r="P25" s="370"/>
      <c r="Q25" s="371"/>
      <c r="R25" s="372"/>
      <c r="S25" s="1"/>
    </row>
    <row r="26" spans="5:19" ht="31.5" customHeight="1" thickBot="1">
      <c r="E26" s="458" t="s">
        <v>80</v>
      </c>
      <c r="F26" s="426"/>
      <c r="G26" s="450" t="e">
        <f>IF(#REF!,"",(22.4/18*#REF!)/((#REF!*(273/(273+#REF!))*((#REF!+#REF!)/760)+(22.4/18*#REF!)))*100)</f>
        <v>#REF!</v>
      </c>
      <c r="H26" s="461"/>
      <c r="I26" s="461"/>
      <c r="J26" s="462"/>
      <c r="K26" s="462"/>
      <c r="L26" s="462"/>
      <c r="M26" s="463"/>
      <c r="N26" s="425" t="s">
        <v>71</v>
      </c>
      <c r="O26" s="426"/>
      <c r="P26" s="450">
        <f>P25-P24</f>
        <v>0</v>
      </c>
      <c r="Q26" s="451"/>
      <c r="R26" s="452"/>
      <c r="S26" s="1"/>
    </row>
    <row r="27" spans="5:19" ht="9.75" customHeight="1"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295"/>
      <c r="S27" s="1"/>
    </row>
    <row r="28" spans="5:19" s="319" customFormat="1" ht="27.75" customHeight="1">
      <c r="E28" s="321" t="s">
        <v>446</v>
      </c>
      <c r="F28" s="322"/>
      <c r="G28" s="326" t="s">
        <v>124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320"/>
      <c r="S28" s="1"/>
    </row>
    <row r="29" spans="5:19" ht="27.75" customHeight="1" thickBot="1">
      <c r="E29" s="469" t="s">
        <v>440</v>
      </c>
      <c r="F29" s="469"/>
      <c r="G29" s="323">
        <v>0.45555555555555555</v>
      </c>
      <c r="H29" s="324" t="s">
        <v>441</v>
      </c>
      <c r="I29" s="323">
        <f>G29 + TIME(0, F37, 0)</f>
        <v>0.45555555555555555</v>
      </c>
      <c r="J29" s="294"/>
      <c r="K29" s="294"/>
      <c r="L29" s="278"/>
      <c r="M29" s="278"/>
      <c r="N29" s="278"/>
      <c r="O29" s="278"/>
      <c r="P29" s="278"/>
      <c r="Q29" s="278"/>
      <c r="R29" s="278"/>
      <c r="S29" s="1"/>
    </row>
    <row r="30" spans="5:19" ht="45" customHeight="1">
      <c r="E30" s="487" t="s">
        <v>411</v>
      </c>
      <c r="F30" s="464" t="s">
        <v>86</v>
      </c>
      <c r="G30" s="464" t="s">
        <v>448</v>
      </c>
      <c r="H30" s="464" t="s">
        <v>87</v>
      </c>
      <c r="I30" s="464" t="s">
        <v>88</v>
      </c>
      <c r="J30" s="464" t="s">
        <v>418</v>
      </c>
      <c r="K30" s="464" t="s">
        <v>89</v>
      </c>
      <c r="L30" s="464" t="s">
        <v>399</v>
      </c>
      <c r="M30" s="387" t="s">
        <v>91</v>
      </c>
      <c r="N30" s="366"/>
      <c r="O30" s="464" t="s">
        <v>400</v>
      </c>
      <c r="P30" s="466" t="s">
        <v>385</v>
      </c>
      <c r="Q30" s="467"/>
      <c r="R30" s="456" t="s">
        <v>94</v>
      </c>
      <c r="S30" s="1"/>
    </row>
    <row r="31" spans="5:19" ht="46.15" customHeight="1">
      <c r="E31" s="488"/>
      <c r="F31" s="465"/>
      <c r="G31" s="465"/>
      <c r="H31" s="465"/>
      <c r="I31" s="465"/>
      <c r="J31" s="465"/>
      <c r="K31" s="465"/>
      <c r="L31" s="465"/>
      <c r="M31" s="14" t="s">
        <v>96</v>
      </c>
      <c r="N31" s="14" t="s">
        <v>97</v>
      </c>
      <c r="O31" s="465"/>
      <c r="P31" s="339"/>
      <c r="Q31" s="468"/>
      <c r="R31" s="457"/>
      <c r="S31" s="1"/>
    </row>
    <row r="32" spans="5:19" ht="31.5" customHeight="1">
      <c r="E32" s="15">
        <v>1</v>
      </c>
      <c r="F32" s="226"/>
      <c r="G32" s="228"/>
      <c r="H32" s="228"/>
      <c r="I32" s="229"/>
      <c r="J32" s="220"/>
      <c r="K32" s="228"/>
      <c r="L32" s="230"/>
      <c r="M32" s="230"/>
      <c r="N32" s="230"/>
      <c r="O32" s="230"/>
      <c r="P32" s="383"/>
      <c r="Q32" s="460"/>
      <c r="R32" s="16"/>
      <c r="S32" s="1"/>
    </row>
    <row r="33" spans="5:19" ht="31.5" customHeight="1">
      <c r="E33" s="15">
        <v>2</v>
      </c>
      <c r="F33" s="230"/>
      <c r="G33" s="228"/>
      <c r="H33" s="228"/>
      <c r="I33" s="229"/>
      <c r="J33" s="220"/>
      <c r="K33" s="228"/>
      <c r="L33" s="230"/>
      <c r="M33" s="230"/>
      <c r="N33" s="230"/>
      <c r="O33" s="230"/>
      <c r="P33" s="383"/>
      <c r="Q33" s="460"/>
      <c r="R33" s="16"/>
      <c r="S33" s="1"/>
    </row>
    <row r="34" spans="5:19" ht="31.5" customHeight="1">
      <c r="E34" s="15">
        <v>3</v>
      </c>
      <c r="F34" s="230"/>
      <c r="G34" s="230"/>
      <c r="H34" s="228"/>
      <c r="I34" s="228"/>
      <c r="J34" s="220"/>
      <c r="K34" s="230"/>
      <c r="L34" s="230"/>
      <c r="M34" s="230"/>
      <c r="N34" s="230"/>
      <c r="O34" s="230"/>
      <c r="P34" s="383"/>
      <c r="Q34" s="330"/>
      <c r="R34" s="16"/>
      <c r="S34" s="1"/>
    </row>
    <row r="35" spans="5:19" ht="31.5" customHeight="1">
      <c r="E35" s="15">
        <v>4</v>
      </c>
      <c r="F35" s="230"/>
      <c r="G35" s="230"/>
      <c r="H35" s="228"/>
      <c r="I35" s="228"/>
      <c r="J35" s="220"/>
      <c r="K35" s="230"/>
      <c r="L35" s="230"/>
      <c r="M35" s="230"/>
      <c r="N35" s="230"/>
      <c r="O35" s="230"/>
      <c r="P35" s="383"/>
      <c r="Q35" s="330"/>
      <c r="R35" s="16"/>
      <c r="S35" s="1"/>
    </row>
    <row r="36" spans="5:19" ht="31.5" customHeight="1">
      <c r="E36" s="15">
        <v>5</v>
      </c>
      <c r="F36" s="230"/>
      <c r="G36" s="230"/>
      <c r="H36" s="228"/>
      <c r="I36" s="228"/>
      <c r="J36" s="220"/>
      <c r="K36" s="230"/>
      <c r="L36" s="230"/>
      <c r="M36" s="230"/>
      <c r="N36" s="230"/>
      <c r="O36" s="230"/>
      <c r="P36" s="383"/>
      <c r="Q36" s="330"/>
      <c r="R36" s="16"/>
      <c r="S36" s="1"/>
    </row>
    <row r="37" spans="5:19" ht="31.5" customHeight="1">
      <c r="E37" s="15" t="s">
        <v>104</v>
      </c>
      <c r="F37" s="222"/>
      <c r="G37" s="222"/>
      <c r="H37" s="223"/>
      <c r="I37" s="223"/>
      <c r="J37" s="220"/>
      <c r="K37" s="222"/>
      <c r="L37" s="222"/>
      <c r="M37" s="222"/>
      <c r="N37" s="222"/>
      <c r="O37" s="222"/>
      <c r="P37" s="384"/>
      <c r="Q37" s="333"/>
      <c r="R37" s="16"/>
      <c r="S37" s="1"/>
    </row>
    <row r="38" spans="5:19" ht="31.5" customHeight="1" thickBot="1">
      <c r="E38" s="489" t="s">
        <v>106</v>
      </c>
      <c r="F38" s="490"/>
      <c r="G38" s="221"/>
      <c r="H38" s="221"/>
      <c r="I38" s="221"/>
      <c r="J38" s="221"/>
      <c r="K38" s="221"/>
      <c r="L38" s="221"/>
      <c r="M38" s="459"/>
      <c r="N38" s="386"/>
      <c r="O38" s="221"/>
      <c r="P38" s="385"/>
      <c r="Q38" s="386"/>
      <c r="R38" s="17"/>
      <c r="S38" s="1"/>
    </row>
    <row r="39" spans="5:19" ht="10.5" customHeight="1">
      <c r="E39" s="18"/>
      <c r="F39" s="18"/>
      <c r="G39" s="18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1"/>
    </row>
    <row r="40" spans="5:19" ht="27.75" customHeight="1" thickBot="1">
      <c r="E40" s="454" t="s">
        <v>401</v>
      </c>
      <c r="F40" s="455"/>
      <c r="G40" s="455"/>
      <c r="H40" s="455"/>
      <c r="I40" s="455"/>
      <c r="J40" s="455"/>
      <c r="K40" s="455"/>
      <c r="L40" s="455"/>
      <c r="M40" s="455"/>
      <c r="N40" s="455"/>
      <c r="O40" s="455"/>
      <c r="P40" s="455"/>
      <c r="Q40" s="455"/>
      <c r="R40" s="455"/>
      <c r="S40" s="1"/>
    </row>
    <row r="41" spans="5:19" ht="69" customHeight="1">
      <c r="E41" s="20" t="s">
        <v>110</v>
      </c>
      <c r="F41" s="21" t="s">
        <v>403</v>
      </c>
      <c r="G41" s="22" t="s">
        <v>112</v>
      </c>
      <c r="H41" s="22" t="s">
        <v>113</v>
      </c>
      <c r="I41" s="22" t="s">
        <v>114</v>
      </c>
      <c r="J41" s="263" t="s">
        <v>115</v>
      </c>
      <c r="K41" s="264" t="s">
        <v>86</v>
      </c>
      <c r="L41" s="23" t="s">
        <v>110</v>
      </c>
      <c r="M41" s="21" t="s">
        <v>111</v>
      </c>
      <c r="N41" s="22" t="s">
        <v>112</v>
      </c>
      <c r="O41" s="22" t="s">
        <v>113</v>
      </c>
      <c r="P41" s="22" t="s">
        <v>114</v>
      </c>
      <c r="Q41" s="263" t="s">
        <v>115</v>
      </c>
      <c r="R41" s="265" t="s">
        <v>86</v>
      </c>
      <c r="S41" s="1"/>
    </row>
    <row r="42" spans="5:19" ht="31.5" customHeight="1">
      <c r="E42" s="24">
        <v>1</v>
      </c>
      <c r="F42" s="293"/>
      <c r="G42" s="231"/>
      <c r="H42" s="231"/>
      <c r="I42" s="231"/>
      <c r="J42" s="261"/>
      <c r="K42" s="276"/>
      <c r="L42" s="251">
        <v>10</v>
      </c>
      <c r="M42" s="26"/>
      <c r="N42" s="231"/>
      <c r="O42" s="231"/>
      <c r="P42" s="231"/>
      <c r="Q42" s="261"/>
      <c r="R42" s="258"/>
      <c r="S42" s="1"/>
    </row>
    <row r="43" spans="5:19" ht="31.5" customHeight="1">
      <c r="E43" s="24">
        <v>2</v>
      </c>
      <c r="F43" s="4"/>
      <c r="G43" s="231"/>
      <c r="H43" s="231"/>
      <c r="I43" s="231"/>
      <c r="J43" s="261"/>
      <c r="K43" s="276"/>
      <c r="L43" s="251">
        <v>11</v>
      </c>
      <c r="M43" s="293"/>
      <c r="N43" s="231"/>
      <c r="O43" s="231"/>
      <c r="P43" s="231"/>
      <c r="Q43" s="261"/>
      <c r="R43" s="258"/>
      <c r="S43" s="1"/>
    </row>
    <row r="44" spans="5:19" ht="31.5" customHeight="1">
      <c r="E44" s="24">
        <v>3</v>
      </c>
      <c r="F44" s="293"/>
      <c r="G44" s="231"/>
      <c r="H44" s="231"/>
      <c r="I44" s="231"/>
      <c r="J44" s="261"/>
      <c r="K44" s="276"/>
      <c r="L44" s="251">
        <v>12</v>
      </c>
      <c r="M44" s="4"/>
      <c r="N44" s="231"/>
      <c r="O44" s="231"/>
      <c r="P44" s="231"/>
      <c r="Q44" s="261"/>
      <c r="R44" s="258"/>
      <c r="S44" s="1"/>
    </row>
    <row r="45" spans="5:19" ht="31.5" customHeight="1">
      <c r="E45" s="24">
        <v>4</v>
      </c>
      <c r="F45" s="292"/>
      <c r="G45" s="231"/>
      <c r="H45" s="231"/>
      <c r="I45" s="231"/>
      <c r="J45" s="261"/>
      <c r="K45" s="257"/>
      <c r="L45" s="251">
        <v>13</v>
      </c>
      <c r="M45" s="4"/>
      <c r="N45" s="231"/>
      <c r="O45" s="231"/>
      <c r="P45" s="231"/>
      <c r="Q45" s="261"/>
      <c r="R45" s="258"/>
      <c r="S45" s="1"/>
    </row>
    <row r="46" spans="5:19" ht="31.5" customHeight="1">
      <c r="E46" s="24">
        <v>5</v>
      </c>
      <c r="F46" s="293"/>
      <c r="G46" s="231"/>
      <c r="H46" s="231"/>
      <c r="I46" s="231"/>
      <c r="J46" s="261"/>
      <c r="K46" s="257"/>
      <c r="L46" s="251">
        <v>14</v>
      </c>
      <c r="M46" s="4"/>
      <c r="N46" s="231"/>
      <c r="O46" s="231"/>
      <c r="P46" s="231"/>
      <c r="Q46" s="261"/>
      <c r="R46" s="258"/>
      <c r="S46" s="1"/>
    </row>
    <row r="47" spans="5:19" ht="31.5" customHeight="1">
      <c r="E47" s="24">
        <v>6</v>
      </c>
      <c r="F47" s="293"/>
      <c r="G47" s="231"/>
      <c r="H47" s="231"/>
      <c r="I47" s="231"/>
      <c r="J47" s="261"/>
      <c r="K47" s="257"/>
      <c r="L47" s="251">
        <v>15</v>
      </c>
      <c r="M47" s="26"/>
      <c r="N47" s="231"/>
      <c r="O47" s="231"/>
      <c r="P47" s="231"/>
      <c r="Q47" s="261"/>
      <c r="R47" s="258"/>
      <c r="S47" s="1"/>
    </row>
    <row r="48" spans="5:19" ht="31.5" customHeight="1">
      <c r="E48" s="24">
        <v>7</v>
      </c>
      <c r="F48" s="4"/>
      <c r="G48" s="231"/>
      <c r="H48" s="231"/>
      <c r="I48" s="231"/>
      <c r="J48" s="261"/>
      <c r="K48" s="257"/>
      <c r="L48" s="251">
        <v>16</v>
      </c>
      <c r="M48" s="4"/>
      <c r="N48" s="231"/>
      <c r="O48" s="231"/>
      <c r="P48" s="231"/>
      <c r="Q48" s="261"/>
      <c r="R48" s="258"/>
      <c r="S48" s="1"/>
    </row>
    <row r="49" spans="5:19" ht="31.5" customHeight="1">
      <c r="E49" s="24">
        <v>8</v>
      </c>
      <c r="F49" s="4"/>
      <c r="G49" s="231"/>
      <c r="H49" s="231"/>
      <c r="I49" s="231"/>
      <c r="J49" s="261"/>
      <c r="K49" s="257"/>
      <c r="L49" s="12">
        <v>17</v>
      </c>
      <c r="M49" s="233"/>
      <c r="N49" s="235"/>
      <c r="O49" s="235"/>
      <c r="P49" s="235"/>
      <c r="Q49" s="261"/>
      <c r="R49" s="258"/>
      <c r="S49" s="1"/>
    </row>
    <row r="50" spans="5:19" ht="31.5" customHeight="1" thickBot="1">
      <c r="E50" s="27">
        <v>9</v>
      </c>
      <c r="F50" s="253"/>
      <c r="G50" s="254"/>
      <c r="H50" s="254"/>
      <c r="I50" s="254"/>
      <c r="J50" s="262"/>
      <c r="K50" s="260"/>
      <c r="L50" s="255">
        <v>18</v>
      </c>
      <c r="M50" s="5"/>
      <c r="N50" s="232"/>
      <c r="O50" s="232"/>
      <c r="P50" s="232"/>
      <c r="Q50" s="262"/>
      <c r="R50" s="259"/>
      <c r="S50" s="1"/>
    </row>
    <row r="51" spans="5:19" ht="16.5" customHeight="1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5:19" ht="16.5" customHeight="1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5:19" ht="16.5" customHeight="1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5:19" ht="16.5" customHeight="1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5:19" ht="16.5" customHeight="1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5:19" ht="16.5" customHeight="1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5:19" ht="16.5" customHeight="1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5:19" ht="16.5" customHeight="1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5:19" ht="16.5" customHeight="1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5:19" ht="16.5" customHeight="1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5:19" ht="16.5" customHeight="1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5:19" ht="16.5" customHeight="1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5:19" ht="16.5" customHeight="1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5:19" ht="16.5" customHeight="1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5:19" ht="16.5" customHeight="1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5:19" ht="16.5" customHeight="1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5:19" ht="16.5" customHeight="1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5:19" ht="16.5" customHeight="1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</sheetData>
  <mergeCells count="119">
    <mergeCell ref="G16:I16"/>
    <mergeCell ref="E21:F21"/>
    <mergeCell ref="E18:F19"/>
    <mergeCell ref="H30:H31"/>
    <mergeCell ref="G30:G31"/>
    <mergeCell ref="L22:M22"/>
    <mergeCell ref="E30:E31"/>
    <mergeCell ref="F30:F31"/>
    <mergeCell ref="I30:I31"/>
    <mergeCell ref="E38:F38"/>
    <mergeCell ref="E25:F25"/>
    <mergeCell ref="P34:Q34"/>
    <mergeCell ref="P25:R25"/>
    <mergeCell ref="P26:R26"/>
    <mergeCell ref="E40:R40"/>
    <mergeCell ref="R30:R31"/>
    <mergeCell ref="E26:F26"/>
    <mergeCell ref="M38:N38"/>
    <mergeCell ref="P33:Q33"/>
    <mergeCell ref="G26:M26"/>
    <mergeCell ref="P35:Q35"/>
    <mergeCell ref="O30:O31"/>
    <mergeCell ref="P30:Q31"/>
    <mergeCell ref="P32:Q32"/>
    <mergeCell ref="L30:L31"/>
    <mergeCell ref="E29:F29"/>
    <mergeCell ref="K30:K31"/>
    <mergeCell ref="J30:J31"/>
    <mergeCell ref="E17:F17"/>
    <mergeCell ref="H20:I20"/>
    <mergeCell ref="E20:G20"/>
    <mergeCell ref="H21:I25"/>
    <mergeCell ref="J24:K24"/>
    <mergeCell ref="L24:M24"/>
    <mergeCell ref="L25:M25"/>
    <mergeCell ref="J25:K25"/>
    <mergeCell ref="J23:K23"/>
    <mergeCell ref="K19:L19"/>
    <mergeCell ref="K20:L20"/>
    <mergeCell ref="N26:O26"/>
    <mergeCell ref="N20:O20"/>
    <mergeCell ref="N18:P19"/>
    <mergeCell ref="Q18:R19"/>
    <mergeCell ref="Q20:R22"/>
    <mergeCell ref="G18:H18"/>
    <mergeCell ref="E22:F22"/>
    <mergeCell ref="K21:M21"/>
    <mergeCell ref="E23:F23"/>
    <mergeCell ref="L23:M23"/>
    <mergeCell ref="P36:Q36"/>
    <mergeCell ref="P37:Q37"/>
    <mergeCell ref="P38:Q38"/>
    <mergeCell ref="M30:N30"/>
    <mergeCell ref="P17:Q17"/>
    <mergeCell ref="E2:F2"/>
    <mergeCell ref="E3:F4"/>
    <mergeCell ref="N3:R3"/>
    <mergeCell ref="N12:O12"/>
    <mergeCell ref="P4:R4"/>
    <mergeCell ref="Q5:R5"/>
    <mergeCell ref="G5:M6"/>
    <mergeCell ref="K7:M7"/>
    <mergeCell ref="G2:H2"/>
    <mergeCell ref="I2:N2"/>
    <mergeCell ref="G3:M4"/>
    <mergeCell ref="E7:F7"/>
    <mergeCell ref="E5:F6"/>
    <mergeCell ref="N10:O10"/>
    <mergeCell ref="E11:F11"/>
    <mergeCell ref="E9:R9"/>
    <mergeCell ref="E10:F10"/>
    <mergeCell ref="G10:H10"/>
    <mergeCell ref="E8:R8"/>
    <mergeCell ref="O2:P2"/>
    <mergeCell ref="Q2:R2"/>
    <mergeCell ref="N4:O4"/>
    <mergeCell ref="E16:F16"/>
    <mergeCell ref="P24:R24"/>
    <mergeCell ref="J22:K22"/>
    <mergeCell ref="J10:K12"/>
    <mergeCell ref="L10:M12"/>
    <mergeCell ref="E15:F15"/>
    <mergeCell ref="P12:Q12"/>
    <mergeCell ref="P10:Q10"/>
    <mergeCell ref="N13:O13"/>
    <mergeCell ref="E13:F13"/>
    <mergeCell ref="E14:F14"/>
    <mergeCell ref="G14:H14"/>
    <mergeCell ref="J13:K15"/>
    <mergeCell ref="G12:I12"/>
    <mergeCell ref="N11:O11"/>
    <mergeCell ref="K16:L16"/>
    <mergeCell ref="K17:L17"/>
    <mergeCell ref="K18:L18"/>
    <mergeCell ref="E24:F24"/>
    <mergeCell ref="P16:Q16"/>
    <mergeCell ref="N17:O17"/>
    <mergeCell ref="E12:F12"/>
    <mergeCell ref="G15:I15"/>
    <mergeCell ref="G13:I13"/>
    <mergeCell ref="L13:M15"/>
    <mergeCell ref="G17:H17"/>
    <mergeCell ref="P6:P7"/>
    <mergeCell ref="N5:O5"/>
    <mergeCell ref="N6:O7"/>
    <mergeCell ref="P14:Q14"/>
    <mergeCell ref="P15:Q15"/>
    <mergeCell ref="P13:Q13"/>
    <mergeCell ref="P11:Q11"/>
    <mergeCell ref="N14:O14"/>
    <mergeCell ref="N15:O15"/>
    <mergeCell ref="G11:H11"/>
    <mergeCell ref="Q6:R7"/>
    <mergeCell ref="N16:O16"/>
    <mergeCell ref="N23:R23"/>
    <mergeCell ref="N22:O22"/>
    <mergeCell ref="N21:O21"/>
    <mergeCell ref="N25:O25"/>
    <mergeCell ref="N24:O24"/>
  </mergeCells>
  <phoneticPr fontId="58" type="noConversion"/>
  <dataValidations count="2">
    <dataValidation showDropDown="1" showInputMessage="1" showErrorMessage="1" sqref="P11:Q11"/>
    <dataValidation type="list" allowBlank="1" showInputMessage="1" showErrorMessage="1" sqref="G28">
      <formula1>"먼지, 중금속"</formula1>
    </dataValidation>
  </dataValidations>
  <printOptions horizontalCentered="1" verticalCentered="1"/>
  <pageMargins left="0.11811023622047245" right="0.11811023622047245" top="0.35433070866141736" bottom="0.35433070866141736" header="0" footer="0"/>
  <pageSetup paperSize="9" scale="51" fitToWidth="0" orientation="portrait" r:id="rId1"/>
  <headerFooter>
    <oddFooter>&amp;LDFEN-QPF-14-01 (08)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eck Box 11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8" name="Check Box 2">
              <controlPr defaultSize="0" autoFill="0" autoLine="0" autoPict="0" macro="[0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9" name="Check Box 10">
              <controlPr defaultSize="0" autoFill="0" autoLine="0" autoPict="0" macro="[2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  <pageSetUpPr fitToPage="1"/>
  </sheetPr>
  <dimension ref="A1:AT97"/>
  <sheetViews>
    <sheetView view="pageBreakPreview" topLeftCell="A28" zoomScale="85" zoomScaleNormal="70" zoomScaleSheetLayoutView="85" workbookViewId="0">
      <selection activeCell="Y53" sqref="Y53"/>
    </sheetView>
  </sheetViews>
  <sheetFormatPr defaultColWidth="14.375" defaultRowHeight="15" customHeight="1"/>
  <cols>
    <col min="1" max="1" width="1.375" customWidth="1"/>
    <col min="2" max="7" width="6.75" customWidth="1"/>
    <col min="8" max="8" width="8.25" customWidth="1"/>
    <col min="9" max="9" width="6.75" customWidth="1"/>
    <col min="10" max="15" width="8.75" customWidth="1"/>
    <col min="16" max="19" width="8.75" style="280" customWidth="1"/>
    <col min="20" max="24" width="8.75" customWidth="1"/>
    <col min="25" max="25" width="13.125" customWidth="1"/>
    <col min="26" max="26" width="13.5" customWidth="1"/>
    <col min="27" max="27" width="13.125" customWidth="1"/>
    <col min="28" max="29" width="8.75" customWidth="1"/>
    <col min="30" max="30" width="23" customWidth="1"/>
    <col min="31" max="31" width="5.875" customWidth="1"/>
    <col min="32" max="32" width="12" customWidth="1"/>
    <col min="33" max="34" width="8.75" customWidth="1"/>
  </cols>
  <sheetData>
    <row r="1" spans="1:34" ht="33.75" customHeight="1">
      <c r="A1" s="1"/>
      <c r="B1" s="491" t="s">
        <v>126</v>
      </c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X1" s="1"/>
      <c r="AC1" s="1"/>
      <c r="AD1" s="1"/>
      <c r="AE1" s="1"/>
      <c r="AF1" s="9"/>
      <c r="AG1" s="1"/>
      <c r="AH1" s="1"/>
    </row>
    <row r="2" spans="1:34" ht="16.5" customHeight="1">
      <c r="A2" s="1"/>
      <c r="B2" s="1" t="s">
        <v>128</v>
      </c>
      <c r="C2" s="1"/>
      <c r="D2" s="492">
        <f>'기록지(먼지)'!G2</f>
        <v>0</v>
      </c>
      <c r="E2" s="424"/>
      <c r="F2" s="424"/>
      <c r="G2" s="1"/>
      <c r="H2" s="1"/>
      <c r="I2" s="1"/>
      <c r="X2" s="1"/>
      <c r="AC2" s="1"/>
      <c r="AD2" s="1"/>
      <c r="AE2" s="1"/>
      <c r="AF2" s="31"/>
      <c r="AG2" s="1"/>
      <c r="AH2" s="1"/>
    </row>
    <row r="3" spans="1:34" ht="16.5" customHeight="1">
      <c r="A3" s="1"/>
      <c r="C3" s="1"/>
      <c r="D3" s="1"/>
      <c r="E3" s="1"/>
      <c r="F3" s="1"/>
      <c r="G3" s="1"/>
      <c r="H3" s="1"/>
      <c r="I3" s="1"/>
      <c r="AD3" s="1"/>
      <c r="AE3" s="1"/>
      <c r="AF3" s="9"/>
      <c r="AG3" s="1"/>
    </row>
    <row r="4" spans="1:34" ht="16.5" customHeight="1">
      <c r="A4" s="1"/>
      <c r="B4" s="28" t="s">
        <v>388</v>
      </c>
      <c r="C4" s="1"/>
      <c r="D4" s="1"/>
      <c r="E4" s="1"/>
      <c r="F4" s="1"/>
      <c r="G4" s="1"/>
      <c r="H4" s="1"/>
      <c r="I4" s="1"/>
      <c r="K4" s="9"/>
      <c r="L4" s="1"/>
      <c r="M4" s="28" t="s">
        <v>389</v>
      </c>
      <c r="N4" s="286"/>
      <c r="O4" s="284"/>
      <c r="P4" s="281"/>
      <c r="Q4" s="281"/>
      <c r="R4" s="281"/>
      <c r="S4" s="281"/>
      <c r="T4" s="240"/>
      <c r="U4" s="289"/>
      <c r="V4" s="286"/>
      <c r="AD4" s="1"/>
      <c r="AE4" s="1"/>
      <c r="AF4" s="9"/>
      <c r="AG4" s="1"/>
    </row>
    <row r="5" spans="1:34" ht="16.5" customHeight="1">
      <c r="A5" s="1"/>
      <c r="C5" s="1"/>
      <c r="D5" s="1"/>
      <c r="E5" s="1"/>
      <c r="F5" s="1"/>
      <c r="G5" s="1"/>
      <c r="H5" s="1"/>
      <c r="I5" s="1"/>
      <c r="M5" s="286"/>
      <c r="N5" s="286"/>
      <c r="O5" s="284"/>
      <c r="P5" s="281"/>
      <c r="Q5" s="281"/>
      <c r="R5" s="281"/>
      <c r="S5" s="281"/>
      <c r="T5" s="240"/>
      <c r="U5" s="289"/>
      <c r="V5" s="286"/>
      <c r="AD5" s="1"/>
      <c r="AE5" s="1"/>
      <c r="AG5" s="1"/>
    </row>
    <row r="6" spans="1:34" ht="16.5" customHeight="1">
      <c r="A6" s="1"/>
      <c r="C6" s="1"/>
      <c r="D6" s="1"/>
      <c r="E6" s="1"/>
      <c r="F6" s="1"/>
      <c r="G6" s="1"/>
      <c r="H6" s="1"/>
      <c r="I6" s="1"/>
      <c r="M6" s="286"/>
      <c r="N6" s="286"/>
      <c r="O6" s="284"/>
      <c r="P6" s="281"/>
      <c r="Q6" s="281"/>
      <c r="R6" s="281"/>
      <c r="S6" s="281"/>
      <c r="T6" s="240"/>
      <c r="U6" s="289"/>
      <c r="V6" s="286"/>
      <c r="AD6" s="1"/>
      <c r="AE6" s="1"/>
      <c r="AF6" s="9"/>
      <c r="AG6" s="1"/>
    </row>
    <row r="7" spans="1:34" ht="16.5" customHeight="1">
      <c r="A7" s="1"/>
      <c r="C7" s="1"/>
      <c r="D7" s="1"/>
      <c r="E7" s="1"/>
      <c r="F7" s="1"/>
      <c r="G7" s="1"/>
      <c r="H7" s="1"/>
      <c r="I7" s="1"/>
      <c r="M7" s="286"/>
      <c r="N7" s="286"/>
      <c r="O7" s="284"/>
      <c r="P7" s="281"/>
      <c r="Q7" s="281"/>
      <c r="R7" s="281"/>
      <c r="S7" s="281"/>
      <c r="T7" s="240"/>
      <c r="U7" s="289"/>
      <c r="V7" s="286"/>
      <c r="AD7" s="1"/>
      <c r="AE7" s="1"/>
      <c r="AF7" s="9"/>
      <c r="AG7" s="1"/>
    </row>
    <row r="8" spans="1:34" ht="16.5" customHeight="1">
      <c r="A8" s="1"/>
      <c r="C8" s="1"/>
      <c r="D8" s="1"/>
      <c r="E8" s="1"/>
      <c r="F8" s="1"/>
      <c r="G8" s="1"/>
      <c r="H8" s="1"/>
      <c r="I8" s="1"/>
      <c r="M8" s="286"/>
      <c r="N8" s="286"/>
      <c r="O8" s="284"/>
      <c r="P8" s="281"/>
      <c r="Q8" s="281"/>
      <c r="R8" s="281"/>
      <c r="S8" s="281"/>
      <c r="T8" s="240"/>
      <c r="U8" s="289"/>
      <c r="V8" s="286"/>
      <c r="AD8" s="1"/>
      <c r="AE8" s="1"/>
      <c r="AF8" s="9"/>
      <c r="AG8" s="1"/>
    </row>
    <row r="9" spans="1:34" ht="16.5" customHeight="1">
      <c r="A9" s="1"/>
      <c r="B9" s="32" t="s">
        <v>131</v>
      </c>
      <c r="C9" s="33" t="s">
        <v>132</v>
      </c>
      <c r="D9" s="493" t="s">
        <v>390</v>
      </c>
      <c r="E9" s="477"/>
      <c r="F9" s="477"/>
      <c r="G9" s="477"/>
      <c r="H9" s="477"/>
      <c r="I9" s="34" t="s">
        <v>134</v>
      </c>
      <c r="J9" s="35"/>
      <c r="K9" s="36"/>
      <c r="M9" s="267" t="s">
        <v>127</v>
      </c>
      <c r="N9" s="268" t="s">
        <v>132</v>
      </c>
      <c r="O9" s="495" t="s">
        <v>390</v>
      </c>
      <c r="P9" s="496"/>
      <c r="Q9" s="496"/>
      <c r="R9" s="496"/>
      <c r="S9" s="496"/>
      <c r="T9" s="269" t="s">
        <v>134</v>
      </c>
      <c r="U9" s="270"/>
      <c r="V9" s="271"/>
      <c r="AD9" s="1"/>
      <c r="AE9" s="1"/>
      <c r="AF9" s="9"/>
      <c r="AG9" s="1"/>
    </row>
    <row r="10" spans="1:34" ht="16.5" customHeight="1">
      <c r="A10" s="1"/>
      <c r="B10" s="37" t="s">
        <v>135</v>
      </c>
      <c r="C10" s="2" t="s">
        <v>132</v>
      </c>
      <c r="D10" s="494" t="s">
        <v>136</v>
      </c>
      <c r="E10" s="424"/>
      <c r="F10" s="424"/>
      <c r="G10" s="424"/>
      <c r="H10" s="424"/>
      <c r="I10" s="38" t="s">
        <v>134</v>
      </c>
      <c r="J10" s="39"/>
      <c r="K10" s="40"/>
      <c r="M10" s="272" t="s">
        <v>391</v>
      </c>
      <c r="N10" s="286" t="s">
        <v>132</v>
      </c>
      <c r="O10" s="497" t="s">
        <v>394</v>
      </c>
      <c r="P10" s="498"/>
      <c r="Q10" s="498"/>
      <c r="R10" s="498"/>
      <c r="S10" s="498"/>
      <c r="T10" s="240" t="s">
        <v>134</v>
      </c>
      <c r="U10" s="289"/>
      <c r="V10" s="273"/>
      <c r="AD10" s="1"/>
      <c r="AE10" s="1"/>
      <c r="AF10" s="41"/>
      <c r="AG10" s="1"/>
    </row>
    <row r="11" spans="1:34" ht="16.5" customHeight="1">
      <c r="A11" s="1"/>
      <c r="B11" s="37" t="s">
        <v>46</v>
      </c>
      <c r="C11" s="2" t="s">
        <v>132</v>
      </c>
      <c r="D11" s="494" t="s">
        <v>138</v>
      </c>
      <c r="E11" s="424"/>
      <c r="F11" s="424"/>
      <c r="G11" s="424"/>
      <c r="H11" s="424"/>
      <c r="I11" s="38" t="s">
        <v>134</v>
      </c>
      <c r="J11" s="13"/>
      <c r="K11" s="40"/>
      <c r="M11" s="272" t="s">
        <v>392</v>
      </c>
      <c r="N11" s="286" t="s">
        <v>132</v>
      </c>
      <c r="O11" s="497" t="s">
        <v>395</v>
      </c>
      <c r="P11" s="498"/>
      <c r="Q11" s="498"/>
      <c r="R11" s="498"/>
      <c r="S11" s="498"/>
      <c r="T11" s="240" t="s">
        <v>134</v>
      </c>
      <c r="U11" s="289"/>
      <c r="V11" s="273"/>
      <c r="AD11" s="1"/>
      <c r="AE11" s="1"/>
      <c r="AF11" s="41"/>
      <c r="AG11" s="1"/>
    </row>
    <row r="12" spans="1:34" ht="16.5" customHeight="1">
      <c r="A12" s="1"/>
      <c r="B12" s="37" t="s">
        <v>18</v>
      </c>
      <c r="C12" s="2" t="s">
        <v>132</v>
      </c>
      <c r="D12" s="494" t="s">
        <v>140</v>
      </c>
      <c r="E12" s="424"/>
      <c r="F12" s="424"/>
      <c r="G12" s="424"/>
      <c r="H12" s="424"/>
      <c r="I12" s="38" t="s">
        <v>134</v>
      </c>
      <c r="J12" s="13"/>
      <c r="K12" s="40"/>
      <c r="M12" s="272" t="s">
        <v>393</v>
      </c>
      <c r="N12" s="286" t="s">
        <v>132</v>
      </c>
      <c r="O12" s="497" t="s">
        <v>396</v>
      </c>
      <c r="P12" s="498"/>
      <c r="Q12" s="498"/>
      <c r="R12" s="498"/>
      <c r="S12" s="498"/>
      <c r="T12" s="240" t="s">
        <v>134</v>
      </c>
      <c r="U12" s="289"/>
      <c r="V12" s="273"/>
      <c r="AD12" s="1"/>
      <c r="AE12" s="1"/>
      <c r="AF12" s="42"/>
      <c r="AG12" s="1"/>
    </row>
    <row r="13" spans="1:34" ht="16.5" customHeight="1">
      <c r="A13" s="1"/>
      <c r="B13" s="37" t="s">
        <v>52</v>
      </c>
      <c r="C13" s="2" t="s">
        <v>132</v>
      </c>
      <c r="D13" s="494" t="s">
        <v>142</v>
      </c>
      <c r="E13" s="424"/>
      <c r="F13" s="424"/>
      <c r="G13" s="424"/>
      <c r="H13" s="424"/>
      <c r="I13" s="38" t="s">
        <v>134</v>
      </c>
      <c r="J13" s="2"/>
      <c r="K13" s="40"/>
      <c r="M13" s="272" t="s">
        <v>408</v>
      </c>
      <c r="N13" s="286" t="s">
        <v>407</v>
      </c>
      <c r="O13" s="497" t="s">
        <v>405</v>
      </c>
      <c r="P13" s="498"/>
      <c r="Q13" s="498"/>
      <c r="R13" s="498"/>
      <c r="S13" s="498"/>
      <c r="T13" s="240" t="s">
        <v>384</v>
      </c>
      <c r="U13" s="289"/>
      <c r="V13" s="273"/>
      <c r="AD13" s="1"/>
      <c r="AE13" s="1"/>
      <c r="AF13" s="9"/>
      <c r="AG13" s="1"/>
    </row>
    <row r="14" spans="1:34" ht="16.5" customHeight="1">
      <c r="A14" s="1"/>
      <c r="B14" s="43" t="s">
        <v>129</v>
      </c>
      <c r="C14" s="44" t="s">
        <v>132</v>
      </c>
      <c r="D14" s="499" t="s">
        <v>143</v>
      </c>
      <c r="E14" s="500"/>
      <c r="F14" s="500"/>
      <c r="G14" s="500"/>
      <c r="H14" s="500"/>
      <c r="I14" s="45" t="s">
        <v>134</v>
      </c>
      <c r="J14" s="46"/>
      <c r="K14" s="47"/>
      <c r="M14" s="274" t="s">
        <v>409</v>
      </c>
      <c r="N14" s="248" t="s">
        <v>407</v>
      </c>
      <c r="O14" s="502" t="s">
        <v>406</v>
      </c>
      <c r="P14" s="503"/>
      <c r="Q14" s="503"/>
      <c r="R14" s="503"/>
      <c r="S14" s="503"/>
      <c r="T14" s="249" t="s">
        <v>384</v>
      </c>
      <c r="U14" s="290"/>
      <c r="V14" s="275"/>
      <c r="AD14" s="1"/>
      <c r="AE14" s="1"/>
      <c r="AF14" s="9"/>
      <c r="AG14" s="1"/>
    </row>
    <row r="15" spans="1:34" s="234" customFormat="1" ht="16.5" customHeight="1">
      <c r="A15" s="1"/>
      <c r="B15" s="237"/>
      <c r="C15" s="237"/>
      <c r="D15" s="239"/>
      <c r="E15" s="236"/>
      <c r="F15" s="236"/>
      <c r="G15" s="236"/>
      <c r="H15" s="236"/>
      <c r="I15" s="240"/>
      <c r="J15" s="241"/>
      <c r="K15" s="237"/>
      <c r="M15" s="238"/>
      <c r="N15" s="238"/>
      <c r="O15" s="238"/>
      <c r="P15" s="285"/>
      <c r="Q15" s="285"/>
      <c r="R15" s="285"/>
      <c r="S15" s="285"/>
      <c r="T15" s="238"/>
      <c r="U15" s="238"/>
      <c r="V15" s="238"/>
      <c r="AD15" s="1"/>
      <c r="AE15" s="1"/>
      <c r="AF15" s="9"/>
      <c r="AG15" s="1"/>
    </row>
    <row r="16" spans="1:34" s="234" customFormat="1" ht="16.5" customHeight="1">
      <c r="A16" s="1"/>
      <c r="B16" s="3"/>
      <c r="C16" s="237"/>
      <c r="D16" s="239"/>
      <c r="E16" s="236"/>
      <c r="F16" s="236"/>
      <c r="G16" s="236"/>
      <c r="H16" s="236"/>
      <c r="I16" s="240"/>
      <c r="J16" s="241"/>
      <c r="K16" s="237"/>
      <c r="M16" s="238"/>
      <c r="N16" s="238"/>
      <c r="O16" s="238"/>
      <c r="P16" s="285"/>
      <c r="Q16" s="285"/>
      <c r="R16" s="285"/>
      <c r="S16" s="285"/>
      <c r="T16" s="238"/>
      <c r="U16" s="238"/>
      <c r="V16" s="238"/>
      <c r="AD16" s="1"/>
      <c r="AE16" s="1"/>
      <c r="AF16" s="9"/>
      <c r="AG16" s="1"/>
    </row>
    <row r="17" spans="1:34" s="234" customFormat="1" ht="16.5" customHeight="1">
      <c r="A17" s="1"/>
      <c r="B17" s="28" t="s">
        <v>425</v>
      </c>
      <c r="C17" s="3"/>
      <c r="D17" s="3"/>
      <c r="E17" s="3"/>
      <c r="F17" s="1"/>
      <c r="G17" s="1"/>
      <c r="H17" s="1"/>
      <c r="I17" s="1"/>
      <c r="J17" s="280"/>
      <c r="K17" s="280"/>
      <c r="M17" s="28" t="s">
        <v>426</v>
      </c>
      <c r="N17" s="3"/>
      <c r="O17" s="3"/>
      <c r="P17" s="3"/>
      <c r="Q17" s="285"/>
      <c r="R17" s="285"/>
      <c r="S17" s="285"/>
      <c r="T17" s="238"/>
      <c r="U17" s="238"/>
      <c r="V17" s="238"/>
      <c r="AD17" s="1"/>
      <c r="AE17" s="1"/>
      <c r="AF17" s="9"/>
      <c r="AG17" s="1"/>
    </row>
    <row r="18" spans="1:34" s="234" customFormat="1" ht="16.5" customHeight="1">
      <c r="A18" s="1"/>
      <c r="B18" s="280"/>
      <c r="C18" s="1"/>
      <c r="D18" s="1"/>
      <c r="E18" s="1"/>
      <c r="F18" s="1"/>
      <c r="G18" s="1"/>
      <c r="H18" s="1"/>
      <c r="I18" s="1"/>
      <c r="J18" s="280"/>
      <c r="K18" s="280"/>
      <c r="M18" s="3"/>
      <c r="N18" s="3"/>
      <c r="O18" s="3"/>
      <c r="P18" s="3"/>
      <c r="Q18" s="3"/>
      <c r="R18" s="3"/>
      <c r="S18" s="3"/>
      <c r="T18" s="3"/>
      <c r="U18" s="3"/>
      <c r="V18" s="3"/>
      <c r="AD18" s="1"/>
      <c r="AE18" s="1"/>
      <c r="AF18" s="9"/>
      <c r="AG18" s="1"/>
    </row>
    <row r="19" spans="1:34" s="234" customFormat="1" ht="16.5" customHeight="1">
      <c r="A19" s="1"/>
      <c r="B19" s="280"/>
      <c r="C19" s="1"/>
      <c r="D19" s="1"/>
      <c r="E19" s="1"/>
      <c r="F19" s="1"/>
      <c r="G19" s="1"/>
      <c r="H19" s="1"/>
      <c r="I19" s="1"/>
      <c r="J19" s="280"/>
      <c r="K19" s="280"/>
      <c r="M19" s="280"/>
      <c r="N19" s="1"/>
      <c r="O19" s="1"/>
      <c r="P19" s="1"/>
      <c r="Q19" s="1"/>
      <c r="R19" s="1"/>
      <c r="S19" s="1"/>
      <c r="T19" s="1"/>
      <c r="U19" s="280"/>
      <c r="V19" s="280"/>
      <c r="X19" s="280"/>
      <c r="Y19" s="297"/>
      <c r="Z19" s="296"/>
      <c r="AA19" s="280"/>
      <c r="AB19" s="280"/>
      <c r="AD19" s="1"/>
      <c r="AE19" s="1"/>
      <c r="AF19" s="9"/>
      <c r="AG19" s="1"/>
    </row>
    <row r="20" spans="1:34" s="234" customFormat="1" ht="16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M20" s="280"/>
      <c r="N20" s="1"/>
      <c r="O20" s="1"/>
      <c r="P20" s="1"/>
      <c r="Q20" s="1"/>
      <c r="R20" s="1"/>
      <c r="S20" s="1"/>
      <c r="T20" s="1"/>
      <c r="U20" s="280"/>
      <c r="V20" s="280"/>
      <c r="X20" s="280"/>
      <c r="Y20" s="280"/>
      <c r="Z20" s="280"/>
      <c r="AA20" s="280"/>
      <c r="AB20" s="280"/>
      <c r="AD20" s="1"/>
      <c r="AE20" s="1"/>
      <c r="AF20" s="19"/>
      <c r="AG20" s="1"/>
    </row>
    <row r="21" spans="1:34" s="234" customFormat="1" ht="16.5" customHeight="1">
      <c r="A21" s="1"/>
      <c r="B21" s="280"/>
      <c r="C21" s="1"/>
      <c r="D21" s="1"/>
      <c r="E21" s="1"/>
      <c r="F21" s="1"/>
      <c r="G21" s="1"/>
      <c r="H21" s="1"/>
      <c r="I21" s="1"/>
      <c r="J21" s="280"/>
      <c r="K21" s="280"/>
      <c r="M21" s="1"/>
      <c r="N21" s="1"/>
      <c r="O21" s="1"/>
      <c r="P21" s="1"/>
      <c r="Q21" s="1"/>
      <c r="R21" s="1"/>
      <c r="S21" s="1"/>
      <c r="T21" s="1"/>
      <c r="U21" s="1"/>
      <c r="V21" s="1"/>
      <c r="AD21" s="1"/>
      <c r="AE21" s="1"/>
      <c r="AF21" s="9"/>
      <c r="AG21" s="1"/>
    </row>
    <row r="22" spans="1:34" s="234" customFormat="1" ht="16.5" customHeight="1">
      <c r="A22" s="1"/>
      <c r="B22" s="287" t="s">
        <v>72</v>
      </c>
      <c r="C22" s="33" t="s">
        <v>132</v>
      </c>
      <c r="D22" s="493" t="s">
        <v>145</v>
      </c>
      <c r="E22" s="477"/>
      <c r="F22" s="477"/>
      <c r="G22" s="477"/>
      <c r="H22" s="477"/>
      <c r="I22" s="34" t="s">
        <v>134</v>
      </c>
      <c r="J22" s="35"/>
      <c r="K22" s="36"/>
      <c r="M22" s="287" t="s">
        <v>130</v>
      </c>
      <c r="N22" s="33" t="s">
        <v>132</v>
      </c>
      <c r="O22" s="501" t="s">
        <v>147</v>
      </c>
      <c r="P22" s="501"/>
      <c r="Q22" s="501"/>
      <c r="R22" s="501"/>
      <c r="S22" s="501"/>
      <c r="T22" s="34" t="s">
        <v>134</v>
      </c>
      <c r="U22" s="35"/>
      <c r="V22" s="36"/>
      <c r="AD22" s="1"/>
      <c r="AE22" s="1"/>
      <c r="AF22" s="9"/>
      <c r="AG22" s="1"/>
    </row>
    <row r="23" spans="1:34" s="234" customFormat="1" ht="16.5" customHeight="1">
      <c r="A23" s="1"/>
      <c r="B23" s="37" t="s">
        <v>130</v>
      </c>
      <c r="C23" s="282" t="s">
        <v>132</v>
      </c>
      <c r="D23" s="494" t="s">
        <v>147</v>
      </c>
      <c r="E23" s="424"/>
      <c r="F23" s="424"/>
      <c r="G23" s="424"/>
      <c r="H23" s="424"/>
      <c r="I23" s="291" t="s">
        <v>134</v>
      </c>
      <c r="J23" s="283"/>
      <c r="K23" s="40"/>
      <c r="M23" s="37" t="s">
        <v>127</v>
      </c>
      <c r="N23" s="282" t="s">
        <v>132</v>
      </c>
      <c r="O23" s="494" t="s">
        <v>80</v>
      </c>
      <c r="P23" s="494"/>
      <c r="Q23" s="494"/>
      <c r="R23" s="494"/>
      <c r="S23" s="494"/>
      <c r="T23" s="291" t="s">
        <v>134</v>
      </c>
      <c r="U23" s="283"/>
      <c r="V23" s="40"/>
      <c r="AD23" s="1"/>
      <c r="AE23" s="1"/>
      <c r="AF23" s="31"/>
      <c r="AG23" s="1"/>
    </row>
    <row r="24" spans="1:34" s="234" customFormat="1" ht="16.5" customHeight="1">
      <c r="A24" s="1"/>
      <c r="B24" s="37" t="s">
        <v>101</v>
      </c>
      <c r="C24" s="282" t="s">
        <v>132</v>
      </c>
      <c r="D24" s="494" t="s">
        <v>149</v>
      </c>
      <c r="E24" s="424"/>
      <c r="F24" s="424"/>
      <c r="G24" s="424"/>
      <c r="H24" s="424"/>
      <c r="I24" s="291" t="s">
        <v>134</v>
      </c>
      <c r="J24" s="283"/>
      <c r="K24" s="40"/>
      <c r="M24" s="37" t="s">
        <v>137</v>
      </c>
      <c r="N24" s="282" t="s">
        <v>132</v>
      </c>
      <c r="O24" s="494" t="s">
        <v>153</v>
      </c>
      <c r="P24" s="494"/>
      <c r="Q24" s="494"/>
      <c r="R24" s="494"/>
      <c r="S24" s="494"/>
      <c r="T24" s="291" t="s">
        <v>134</v>
      </c>
      <c r="U24" s="50"/>
      <c r="V24" s="40"/>
      <c r="AD24" s="1"/>
      <c r="AE24" s="1"/>
      <c r="AF24" s="242"/>
      <c r="AG24" s="1"/>
    </row>
    <row r="25" spans="1:34" s="234" customFormat="1" ht="16.5" customHeight="1">
      <c r="A25" s="1"/>
      <c r="B25" s="37" t="s">
        <v>18</v>
      </c>
      <c r="C25" s="282" t="s">
        <v>132</v>
      </c>
      <c r="D25" s="494" t="s">
        <v>150</v>
      </c>
      <c r="E25" s="424"/>
      <c r="F25" s="424"/>
      <c r="G25" s="424"/>
      <c r="H25" s="424"/>
      <c r="I25" s="291" t="s">
        <v>134</v>
      </c>
      <c r="J25" s="283"/>
      <c r="K25" s="40"/>
      <c r="M25" s="37" t="s">
        <v>141</v>
      </c>
      <c r="N25" s="282" t="s">
        <v>132</v>
      </c>
      <c r="O25" s="494" t="s">
        <v>154</v>
      </c>
      <c r="P25" s="424"/>
      <c r="Q25" s="424"/>
      <c r="R25" s="424"/>
      <c r="S25" s="424"/>
      <c r="T25" s="291" t="s">
        <v>134</v>
      </c>
      <c r="U25" s="50"/>
      <c r="V25" s="40"/>
      <c r="AD25" s="1"/>
      <c r="AF25" s="19"/>
      <c r="AG25" s="1"/>
    </row>
    <row r="26" spans="1:34" s="266" customFormat="1" ht="16.5" customHeight="1">
      <c r="A26" s="1"/>
      <c r="B26" s="43" t="s">
        <v>99</v>
      </c>
      <c r="C26" s="44" t="s">
        <v>132</v>
      </c>
      <c r="D26" s="499" t="s">
        <v>151</v>
      </c>
      <c r="E26" s="500"/>
      <c r="F26" s="500"/>
      <c r="G26" s="500"/>
      <c r="H26" s="500"/>
      <c r="I26" s="45" t="s">
        <v>134</v>
      </c>
      <c r="J26" s="49"/>
      <c r="K26" s="47"/>
      <c r="M26" s="43" t="s">
        <v>139</v>
      </c>
      <c r="N26" s="44" t="s">
        <v>132</v>
      </c>
      <c r="O26" s="499" t="s">
        <v>155</v>
      </c>
      <c r="P26" s="500"/>
      <c r="Q26" s="500"/>
      <c r="R26" s="500"/>
      <c r="S26" s="500"/>
      <c r="T26" s="45" t="s">
        <v>134</v>
      </c>
      <c r="U26" s="49"/>
      <c r="V26" s="47"/>
      <c r="AD26" s="1"/>
      <c r="AF26" s="9"/>
      <c r="AG26" s="1"/>
    </row>
    <row r="27" spans="1:34" s="234" customFormat="1" ht="17.25" customHeight="1">
      <c r="A27" s="1"/>
      <c r="B27" s="237"/>
      <c r="C27" s="237"/>
      <c r="D27" s="239"/>
      <c r="E27" s="236"/>
      <c r="F27" s="236"/>
      <c r="G27" s="236"/>
      <c r="H27" s="236"/>
      <c r="I27" s="240"/>
      <c r="J27" s="241"/>
      <c r="K27" s="237"/>
      <c r="M27"/>
      <c r="N27"/>
      <c r="O27"/>
      <c r="P27" s="280"/>
      <c r="Q27" s="280"/>
      <c r="R27" s="280"/>
      <c r="S27" s="280"/>
      <c r="T27"/>
      <c r="U27"/>
      <c r="V27"/>
      <c r="AD27" s="1"/>
      <c r="AE27" s="1"/>
      <c r="AF27" s="9"/>
      <c r="AG27" s="1"/>
    </row>
    <row r="28" spans="1:34" ht="16.5" customHeight="1">
      <c r="A28" s="1"/>
      <c r="C28" s="3"/>
      <c r="D28" s="3"/>
      <c r="E28" s="3"/>
      <c r="F28" s="1"/>
      <c r="G28" s="1"/>
      <c r="H28" s="1"/>
      <c r="I28" s="1"/>
      <c r="AD28" s="1"/>
      <c r="AE28" s="1"/>
      <c r="AF28" s="9"/>
      <c r="AG28" s="1"/>
    </row>
    <row r="29" spans="1:34" ht="16.5" customHeight="1">
      <c r="A29" s="1"/>
      <c r="B29" s="28" t="s">
        <v>156</v>
      </c>
      <c r="C29" s="1"/>
      <c r="D29" s="1"/>
      <c r="E29" s="1"/>
      <c r="F29" s="1"/>
      <c r="G29" s="1"/>
      <c r="H29" s="1"/>
      <c r="I29" s="1"/>
      <c r="J29" s="280"/>
      <c r="K29" s="280"/>
      <c r="M29" s="28" t="s">
        <v>159</v>
      </c>
      <c r="N29" s="1"/>
      <c r="O29" s="1"/>
      <c r="P29" s="1"/>
      <c r="Q29" s="1"/>
      <c r="R29" s="1"/>
      <c r="S29" s="1"/>
      <c r="T29" s="1"/>
      <c r="U29" s="280"/>
      <c r="V29" s="280"/>
      <c r="AD29" s="1"/>
      <c r="AE29" s="1"/>
      <c r="AF29" s="9"/>
      <c r="AG29" s="280"/>
    </row>
    <row r="30" spans="1:34" ht="16.5" customHeight="1">
      <c r="A30" s="1"/>
      <c r="B30" s="280"/>
      <c r="C30" s="1"/>
      <c r="D30" s="1"/>
      <c r="E30" s="1"/>
      <c r="F30" s="1"/>
      <c r="G30" s="1"/>
      <c r="H30" s="1"/>
      <c r="I30" s="1"/>
      <c r="J30" s="280"/>
      <c r="K30" s="280"/>
      <c r="M30" s="280"/>
      <c r="N30" s="1"/>
      <c r="O30" s="1"/>
      <c r="P30" s="1"/>
      <c r="Q30" s="1"/>
      <c r="R30" s="1"/>
      <c r="S30" s="1"/>
      <c r="T30" s="1"/>
      <c r="U30" s="280"/>
      <c r="V30" s="280"/>
      <c r="AD30" s="1"/>
      <c r="AE30" s="280"/>
      <c r="AF30" s="9"/>
      <c r="AG30" s="1"/>
    </row>
    <row r="31" spans="1:34" ht="16.5" customHeight="1">
      <c r="A31" s="1"/>
      <c r="B31" s="280"/>
      <c r="C31" s="1"/>
      <c r="D31" s="1"/>
      <c r="E31" s="1"/>
      <c r="F31" s="1"/>
      <c r="G31" s="1"/>
      <c r="H31" s="1"/>
      <c r="I31" s="1"/>
      <c r="J31" s="280"/>
      <c r="K31" s="280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M32" s="280"/>
      <c r="N32" s="1"/>
      <c r="O32" s="1"/>
      <c r="P32" s="1"/>
      <c r="Q32" s="1"/>
      <c r="R32" s="1"/>
      <c r="S32" s="1"/>
      <c r="T32" s="1"/>
      <c r="U32" s="280"/>
      <c r="V32" s="280"/>
      <c r="AD32" s="1"/>
      <c r="AE32" s="1"/>
      <c r="AG32" s="1"/>
    </row>
    <row r="33" spans="1:34" ht="16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M33" s="1"/>
      <c r="N33" s="1"/>
      <c r="O33" s="1"/>
      <c r="P33" s="1"/>
      <c r="Q33" s="1"/>
      <c r="R33" s="1"/>
      <c r="S33" s="1"/>
      <c r="T33" s="1"/>
      <c r="U33" s="1"/>
      <c r="V33" s="1"/>
      <c r="AD33" s="1"/>
      <c r="AE33" s="1"/>
      <c r="AF33" s="9"/>
      <c r="AG33" s="1"/>
    </row>
    <row r="34" spans="1:34" ht="16.5" customHeight="1">
      <c r="A34" s="1"/>
      <c r="B34" s="280"/>
      <c r="C34" s="1"/>
      <c r="D34" s="1"/>
      <c r="E34" s="1"/>
      <c r="F34" s="1"/>
      <c r="G34" s="1"/>
      <c r="H34" s="1"/>
      <c r="I34" s="1"/>
      <c r="J34" s="280"/>
      <c r="K34" s="280"/>
      <c r="M34" s="280"/>
      <c r="N34" s="1"/>
      <c r="O34" s="1"/>
      <c r="P34" s="1"/>
      <c r="Q34" s="1"/>
      <c r="R34" s="1"/>
      <c r="S34" s="1"/>
      <c r="T34" s="1"/>
      <c r="U34" s="280"/>
      <c r="V34" s="280"/>
      <c r="AD34" s="1"/>
      <c r="AE34" s="1"/>
      <c r="AF34" s="48"/>
      <c r="AG34" s="1"/>
    </row>
    <row r="35" spans="1:34" ht="16.5" customHeight="1">
      <c r="A35" s="1"/>
      <c r="B35" s="287" t="s">
        <v>32</v>
      </c>
      <c r="C35" s="33" t="s">
        <v>132</v>
      </c>
      <c r="D35" s="493" t="s">
        <v>157</v>
      </c>
      <c r="E35" s="477"/>
      <c r="F35" s="477"/>
      <c r="G35" s="477"/>
      <c r="H35" s="477"/>
      <c r="I35" s="34" t="s">
        <v>134</v>
      </c>
      <c r="J35" s="35"/>
      <c r="K35" s="36"/>
      <c r="M35" s="287" t="s">
        <v>160</v>
      </c>
      <c r="N35" s="33" t="s">
        <v>132</v>
      </c>
      <c r="O35" s="493" t="s">
        <v>161</v>
      </c>
      <c r="P35" s="477"/>
      <c r="Q35" s="477"/>
      <c r="R35" s="477"/>
      <c r="S35" s="477"/>
      <c r="T35" s="34" t="s">
        <v>134</v>
      </c>
      <c r="U35" s="35"/>
      <c r="V35" s="36"/>
      <c r="AD35" s="1"/>
      <c r="AE35" s="1"/>
      <c r="AF35" s="9"/>
      <c r="AG35" s="1"/>
    </row>
    <row r="36" spans="1:34" ht="16.5" customHeight="1">
      <c r="A36" s="1"/>
      <c r="B36" s="37" t="s">
        <v>82</v>
      </c>
      <c r="C36" s="282" t="s">
        <v>132</v>
      </c>
      <c r="D36" s="494" t="s">
        <v>81</v>
      </c>
      <c r="E36" s="424"/>
      <c r="F36" s="424"/>
      <c r="G36" s="424"/>
      <c r="H36" s="424"/>
      <c r="I36" s="291" t="s">
        <v>134</v>
      </c>
      <c r="J36" s="283"/>
      <c r="K36" s="40"/>
      <c r="M36" s="37" t="s">
        <v>162</v>
      </c>
      <c r="N36" s="282" t="s">
        <v>132</v>
      </c>
      <c r="O36" s="494" t="s">
        <v>163</v>
      </c>
      <c r="P36" s="424"/>
      <c r="Q36" s="424"/>
      <c r="R36" s="424"/>
      <c r="S36" s="424"/>
      <c r="T36" s="291" t="s">
        <v>134</v>
      </c>
      <c r="U36" s="51"/>
      <c r="V36" s="40"/>
      <c r="AD36" s="1"/>
      <c r="AE36" s="1"/>
      <c r="AF36" s="9"/>
      <c r="AG36" s="234"/>
    </row>
    <row r="37" spans="1:34" ht="16.5" customHeight="1">
      <c r="A37" s="1"/>
      <c r="B37" s="37" t="s">
        <v>84</v>
      </c>
      <c r="C37" s="282" t="s">
        <v>132</v>
      </c>
      <c r="D37" s="494" t="s">
        <v>158</v>
      </c>
      <c r="E37" s="424"/>
      <c r="F37" s="424"/>
      <c r="G37" s="424"/>
      <c r="H37" s="424"/>
      <c r="I37" s="291" t="s">
        <v>134</v>
      </c>
      <c r="J37" s="50"/>
      <c r="K37" s="40"/>
      <c r="M37" s="43" t="s">
        <v>127</v>
      </c>
      <c r="N37" s="44" t="s">
        <v>132</v>
      </c>
      <c r="O37" s="499" t="s">
        <v>133</v>
      </c>
      <c r="P37" s="500"/>
      <c r="Q37" s="500"/>
      <c r="R37" s="500"/>
      <c r="S37" s="500"/>
      <c r="T37" s="45" t="s">
        <v>134</v>
      </c>
      <c r="U37" s="46"/>
      <c r="V37" s="47"/>
      <c r="AD37" s="1"/>
      <c r="AE37" s="234"/>
      <c r="AF37" s="9"/>
      <c r="AG37" s="1"/>
    </row>
    <row r="38" spans="1:34" ht="16.5" customHeight="1">
      <c r="A38" s="1"/>
      <c r="B38" s="43" t="s">
        <v>72</v>
      </c>
      <c r="C38" s="44" t="s">
        <v>132</v>
      </c>
      <c r="D38" s="499" t="s">
        <v>145</v>
      </c>
      <c r="E38" s="500"/>
      <c r="F38" s="500"/>
      <c r="G38" s="500"/>
      <c r="H38" s="500"/>
      <c r="I38" s="45" t="s">
        <v>134</v>
      </c>
      <c r="J38" s="46"/>
      <c r="K38" s="47"/>
      <c r="L38" s="1"/>
      <c r="W38" s="1"/>
      <c r="X38" s="1"/>
      <c r="Y38" s="1"/>
      <c r="Z38" s="1"/>
      <c r="AA38" s="1"/>
      <c r="AB38" s="1"/>
      <c r="AC38" s="1"/>
      <c r="AD38" s="1"/>
      <c r="AE38" s="1"/>
      <c r="AF38" s="9"/>
      <c r="AG38" s="1"/>
      <c r="AH38" s="1"/>
    </row>
    <row r="39" spans="1:34" ht="12" customHeight="1">
      <c r="A39" s="1"/>
      <c r="C39" s="1"/>
      <c r="D39" s="1"/>
      <c r="E39" s="1"/>
      <c r="F39" s="1"/>
      <c r="G39" s="1"/>
      <c r="H39" s="1"/>
      <c r="I39" s="1"/>
      <c r="AD39" s="1"/>
      <c r="AE39" s="1"/>
      <c r="AF39" s="8"/>
      <c r="AG39" s="1"/>
    </row>
    <row r="40" spans="1:34" ht="16.5" customHeight="1">
      <c r="A40" s="1"/>
      <c r="B40" s="3"/>
      <c r="C40" s="3"/>
      <c r="D40" s="3"/>
      <c r="E40" s="3"/>
      <c r="F40" s="3"/>
      <c r="G40" s="3"/>
      <c r="H40" s="3"/>
      <c r="I40" s="3"/>
      <c r="J40" s="3"/>
      <c r="K40" s="3"/>
      <c r="AD40" s="1"/>
      <c r="AE40" s="1"/>
      <c r="AF40" s="9"/>
      <c r="AG40" s="1"/>
    </row>
    <row r="41" spans="1:34" ht="16.5" customHeight="1">
      <c r="A41" s="1"/>
      <c r="B41" s="28" t="s">
        <v>164</v>
      </c>
      <c r="C41" s="1"/>
      <c r="D41" s="1"/>
      <c r="E41" s="1"/>
      <c r="F41" s="1"/>
      <c r="G41" s="1"/>
      <c r="H41" s="1"/>
      <c r="I41" s="1"/>
      <c r="J41" s="280"/>
      <c r="K41" s="280"/>
      <c r="M41" s="28" t="s">
        <v>447</v>
      </c>
      <c r="N41" s="1"/>
      <c r="O41" s="1"/>
      <c r="P41" s="1"/>
      <c r="Q41" s="1"/>
      <c r="R41" s="1"/>
      <c r="S41" s="1"/>
      <c r="T41" s="1"/>
      <c r="U41" s="1"/>
      <c r="V41" s="1"/>
      <c r="AD41" s="1"/>
      <c r="AE41" s="1"/>
      <c r="AF41" s="9"/>
    </row>
    <row r="42" spans="1:34" ht="16.5" customHeight="1">
      <c r="A42" s="1"/>
      <c r="B42" s="280"/>
      <c r="C42" s="1"/>
      <c r="D42" s="1"/>
      <c r="E42" s="1"/>
      <c r="F42" s="1"/>
      <c r="G42" s="1"/>
      <c r="H42" s="1"/>
      <c r="I42" s="1"/>
      <c r="J42" s="280"/>
      <c r="K42" s="280"/>
      <c r="M42" s="3"/>
      <c r="N42" s="1"/>
      <c r="O42" s="1"/>
      <c r="P42" s="1"/>
      <c r="Q42" s="1"/>
      <c r="R42" s="1"/>
      <c r="S42" s="1"/>
      <c r="T42" s="1"/>
      <c r="U42" s="280"/>
      <c r="V42" s="280"/>
      <c r="W42" s="280"/>
      <c r="X42" s="280"/>
      <c r="AD42" s="1"/>
      <c r="AG42" s="1"/>
    </row>
    <row r="43" spans="1:34" ht="16.5" customHeight="1">
      <c r="A43" s="1"/>
      <c r="B43" s="280"/>
      <c r="C43" s="1"/>
      <c r="D43" s="1"/>
      <c r="E43" s="1"/>
      <c r="F43" s="1"/>
      <c r="G43" s="1"/>
      <c r="H43" s="1"/>
      <c r="I43" s="1"/>
      <c r="J43" s="280"/>
      <c r="K43" s="280"/>
      <c r="L43" s="1"/>
      <c r="M43" s="280"/>
      <c r="N43" s="1"/>
      <c r="O43" s="1"/>
      <c r="P43" s="1"/>
      <c r="Q43" s="1"/>
      <c r="R43" s="1"/>
      <c r="S43" s="1"/>
      <c r="T43" s="1"/>
      <c r="U43" s="280"/>
      <c r="V43" s="280"/>
      <c r="W43" s="280"/>
      <c r="X43" s="280"/>
      <c r="Y43" s="1"/>
      <c r="Z43" s="1"/>
      <c r="AA43" s="1"/>
      <c r="AB43" s="1"/>
      <c r="AC43" s="1"/>
      <c r="AD43" s="1"/>
      <c r="AE43" s="234"/>
      <c r="AF43" s="9"/>
      <c r="AG43" s="1"/>
      <c r="AH43" s="1"/>
    </row>
    <row r="44" spans="1:34" ht="16.5" customHeight="1">
      <c r="A44" s="1"/>
      <c r="B44" s="280"/>
      <c r="C44" s="1"/>
      <c r="D44" s="1"/>
      <c r="E44" s="1"/>
      <c r="F44" s="1"/>
      <c r="G44" s="1"/>
      <c r="H44" s="1"/>
      <c r="I44" s="1"/>
      <c r="J44" s="280"/>
      <c r="K44" s="280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510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424"/>
      <c r="X45" s="1"/>
      <c r="Y45" s="297"/>
      <c r="Z45" s="315"/>
      <c r="AA45" s="280"/>
      <c r="AB45" s="280"/>
    </row>
    <row r="46" spans="1:34" ht="16.5" customHeight="1">
      <c r="A46" s="1"/>
      <c r="B46" s="280"/>
      <c r="C46" s="1"/>
      <c r="D46" s="1"/>
      <c r="E46" s="1"/>
      <c r="F46" s="1"/>
      <c r="G46" s="1"/>
      <c r="H46" s="1"/>
      <c r="I46" s="1"/>
      <c r="J46" s="280"/>
      <c r="K46" s="28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280"/>
      <c r="Z46" s="280"/>
      <c r="AA46" s="280"/>
      <c r="AB46" s="280"/>
    </row>
    <row r="47" spans="1:34" ht="16.5" customHeight="1">
      <c r="A47" s="1"/>
      <c r="B47" s="287" t="s">
        <v>38</v>
      </c>
      <c r="C47" s="33" t="s">
        <v>132</v>
      </c>
      <c r="D47" s="493" t="s">
        <v>165</v>
      </c>
      <c r="E47" s="477"/>
      <c r="F47" s="477"/>
      <c r="G47" s="477"/>
      <c r="H47" s="477"/>
      <c r="I47" s="34" t="s">
        <v>134</v>
      </c>
      <c r="J47" s="35"/>
      <c r="K47" s="36"/>
      <c r="M47" s="267" t="s">
        <v>32</v>
      </c>
      <c r="N47" s="268" t="s">
        <v>132</v>
      </c>
      <c r="O47" s="495" t="s">
        <v>427</v>
      </c>
      <c r="P47" s="495"/>
      <c r="Q47" s="495"/>
      <c r="R47" s="495"/>
      <c r="S47" s="495"/>
      <c r="T47" s="269" t="s">
        <v>134</v>
      </c>
      <c r="U47" s="270"/>
      <c r="V47" s="301" t="s">
        <v>434</v>
      </c>
      <c r="W47" s="280"/>
      <c r="X47" s="1"/>
    </row>
    <row r="48" spans="1:34" ht="16.5" customHeight="1">
      <c r="A48" s="1"/>
      <c r="B48" s="37" t="s">
        <v>166</v>
      </c>
      <c r="C48" s="282" t="s">
        <v>132</v>
      </c>
      <c r="D48" s="494" t="s">
        <v>167</v>
      </c>
      <c r="E48" s="424"/>
      <c r="F48" s="424"/>
      <c r="G48" s="424"/>
      <c r="H48" s="424"/>
      <c r="I48" s="291" t="s">
        <v>134</v>
      </c>
      <c r="J48" s="283"/>
      <c r="K48" s="40"/>
      <c r="M48" s="272" t="s">
        <v>152</v>
      </c>
      <c r="N48" s="286" t="s">
        <v>132</v>
      </c>
      <c r="O48" s="497" t="s">
        <v>428</v>
      </c>
      <c r="P48" s="497"/>
      <c r="Q48" s="497"/>
      <c r="R48" s="497"/>
      <c r="S48" s="497"/>
      <c r="T48" s="240" t="s">
        <v>134</v>
      </c>
      <c r="U48" s="289"/>
      <c r="V48" s="302" t="s">
        <v>433</v>
      </c>
      <c r="W48" s="280"/>
      <c r="X48" s="280"/>
    </row>
    <row r="49" spans="1:34" ht="16.5" customHeight="1">
      <c r="A49" s="1"/>
      <c r="B49" s="37" t="s">
        <v>160</v>
      </c>
      <c r="C49" s="282" t="s">
        <v>132</v>
      </c>
      <c r="D49" s="494" t="s">
        <v>168</v>
      </c>
      <c r="E49" s="424"/>
      <c r="F49" s="424"/>
      <c r="G49" s="424"/>
      <c r="H49" s="424"/>
      <c r="I49" s="291" t="s">
        <v>134</v>
      </c>
      <c r="J49" s="283"/>
      <c r="K49" s="40"/>
      <c r="M49" s="272" t="s">
        <v>6</v>
      </c>
      <c r="N49" s="286" t="s">
        <v>132</v>
      </c>
      <c r="O49" s="497" t="s">
        <v>429</v>
      </c>
      <c r="P49" s="497"/>
      <c r="Q49" s="497"/>
      <c r="R49" s="497"/>
      <c r="S49" s="497"/>
      <c r="T49" s="240" t="s">
        <v>134</v>
      </c>
      <c r="U49" s="289"/>
      <c r="V49" s="303" t="s">
        <v>432</v>
      </c>
      <c r="W49" s="1"/>
      <c r="X49" s="1"/>
    </row>
    <row r="50" spans="1:34" ht="16.5" customHeight="1">
      <c r="A50" s="1"/>
      <c r="B50" s="37" t="s">
        <v>144</v>
      </c>
      <c r="C50" s="282" t="s">
        <v>132</v>
      </c>
      <c r="D50" s="494" t="s">
        <v>169</v>
      </c>
      <c r="E50" s="424"/>
      <c r="F50" s="424"/>
      <c r="G50" s="424"/>
      <c r="H50" s="424"/>
      <c r="I50" s="291" t="s">
        <v>134</v>
      </c>
      <c r="J50" s="282"/>
      <c r="K50" s="40"/>
      <c r="M50" s="272" t="s">
        <v>18</v>
      </c>
      <c r="N50" s="286" t="s">
        <v>132</v>
      </c>
      <c r="O50" s="497" t="s">
        <v>430</v>
      </c>
      <c r="P50" s="497"/>
      <c r="Q50" s="497"/>
      <c r="R50" s="497"/>
      <c r="S50" s="497"/>
      <c r="T50" s="240" t="s">
        <v>134</v>
      </c>
      <c r="U50" s="289"/>
      <c r="V50" s="318" t="s">
        <v>431</v>
      </c>
      <c r="W50" s="281"/>
      <c r="X50" s="281"/>
    </row>
    <row r="51" spans="1:34" ht="16.5" customHeight="1">
      <c r="A51" s="1"/>
      <c r="B51" s="37" t="s">
        <v>14</v>
      </c>
      <c r="C51" s="282" t="s">
        <v>132</v>
      </c>
      <c r="D51" s="494" t="s">
        <v>170</v>
      </c>
      <c r="E51" s="424"/>
      <c r="F51" s="424"/>
      <c r="G51" s="424"/>
      <c r="H51" s="424"/>
      <c r="I51" s="291" t="s">
        <v>134</v>
      </c>
      <c r="J51" s="52"/>
      <c r="K51" s="40"/>
      <c r="M51" s="272" t="s">
        <v>99</v>
      </c>
      <c r="N51" s="286" t="s">
        <v>132</v>
      </c>
      <c r="O51" s="497" t="s">
        <v>151</v>
      </c>
      <c r="P51" s="497"/>
      <c r="Q51" s="497"/>
      <c r="R51" s="497"/>
      <c r="S51" s="497"/>
      <c r="T51" s="240" t="s">
        <v>134</v>
      </c>
      <c r="U51" s="299"/>
      <c r="V51" s="318" t="s">
        <v>431</v>
      </c>
      <c r="W51" s="281"/>
      <c r="X51" s="281"/>
    </row>
    <row r="52" spans="1:34" ht="16.5" customHeight="1">
      <c r="A52" s="1"/>
      <c r="B52" s="37" t="s">
        <v>18</v>
      </c>
      <c r="C52" s="282" t="s">
        <v>132</v>
      </c>
      <c r="D52" s="494" t="s">
        <v>140</v>
      </c>
      <c r="E52" s="424"/>
      <c r="F52" s="424"/>
      <c r="G52" s="424"/>
      <c r="H52" s="424"/>
      <c r="I52" s="291" t="s">
        <v>134</v>
      </c>
      <c r="J52" s="283"/>
      <c r="K52" s="40"/>
      <c r="M52" s="272" t="s">
        <v>66</v>
      </c>
      <c r="N52" s="286" t="s">
        <v>132</v>
      </c>
      <c r="O52" s="497" t="s">
        <v>435</v>
      </c>
      <c r="P52" s="497"/>
      <c r="Q52" s="497"/>
      <c r="R52" s="497"/>
      <c r="S52" s="497"/>
      <c r="T52" s="240" t="s">
        <v>134</v>
      </c>
      <c r="U52" s="289"/>
      <c r="V52" s="303" t="s">
        <v>436</v>
      </c>
      <c r="W52" s="298"/>
      <c r="X52" s="243"/>
    </row>
    <row r="53" spans="1:34" ht="16.5" customHeight="1">
      <c r="A53" s="1"/>
      <c r="B53" s="37" t="s">
        <v>146</v>
      </c>
      <c r="C53" s="282" t="s">
        <v>132</v>
      </c>
      <c r="D53" s="494" t="s">
        <v>171</v>
      </c>
      <c r="E53" s="424"/>
      <c r="F53" s="424"/>
      <c r="G53" s="424"/>
      <c r="H53" s="424"/>
      <c r="I53" s="291" t="s">
        <v>134</v>
      </c>
      <c r="J53" s="282"/>
      <c r="K53" s="40"/>
      <c r="M53" s="272"/>
      <c r="N53" s="286"/>
      <c r="O53" s="497"/>
      <c r="P53" s="497"/>
      <c r="Q53" s="497"/>
      <c r="R53" s="497"/>
      <c r="S53" s="497"/>
      <c r="T53" s="240"/>
      <c r="U53" s="289"/>
      <c r="V53" s="303"/>
      <c r="W53" s="316"/>
      <c r="X53" s="300"/>
    </row>
    <row r="54" spans="1:34" ht="16.5" customHeight="1">
      <c r="A54" s="1"/>
      <c r="B54" s="37" t="s">
        <v>172</v>
      </c>
      <c r="C54" s="282" t="s">
        <v>132</v>
      </c>
      <c r="D54" s="494" t="s">
        <v>148</v>
      </c>
      <c r="E54" s="424"/>
      <c r="F54" s="424"/>
      <c r="G54" s="424"/>
      <c r="H54" s="424"/>
      <c r="I54" s="291" t="s">
        <v>134</v>
      </c>
      <c r="J54" s="50"/>
      <c r="K54" s="40"/>
      <c r="M54" s="508" t="s">
        <v>438</v>
      </c>
      <c r="N54" s="509"/>
      <c r="O54" s="509"/>
      <c r="P54" s="509"/>
      <c r="Q54" s="509"/>
      <c r="R54" s="509"/>
      <c r="S54" s="509"/>
      <c r="T54" s="304" t="s">
        <v>437</v>
      </c>
      <c r="U54" s="305"/>
      <c r="V54" s="306" t="s">
        <v>175</v>
      </c>
      <c r="W54" s="317"/>
      <c r="X54" s="243"/>
    </row>
    <row r="55" spans="1:34" ht="16.5" customHeight="1">
      <c r="A55" s="1"/>
      <c r="B55" s="37" t="s">
        <v>27</v>
      </c>
      <c r="C55" s="282" t="s">
        <v>132</v>
      </c>
      <c r="D55" s="494" t="s">
        <v>173</v>
      </c>
      <c r="E55" s="424"/>
      <c r="F55" s="424"/>
      <c r="G55" s="424"/>
      <c r="H55" s="424"/>
      <c r="I55" s="291" t="s">
        <v>134</v>
      </c>
      <c r="J55" s="51"/>
      <c r="K55" s="40"/>
      <c r="L55" s="1"/>
      <c r="M55" s="504"/>
      <c r="N55" s="505"/>
      <c r="O55" s="505"/>
      <c r="P55" s="505"/>
      <c r="Q55" s="505"/>
      <c r="R55" s="505"/>
      <c r="S55" s="505"/>
      <c r="T55" s="307" t="s">
        <v>437</v>
      </c>
      <c r="U55" s="308"/>
      <c r="V55" s="309" t="s">
        <v>443</v>
      </c>
      <c r="W55" s="316"/>
      <c r="X55" s="300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customHeight="1">
      <c r="A56" s="1"/>
      <c r="B56" s="37" t="s">
        <v>32</v>
      </c>
      <c r="C56" s="282" t="s">
        <v>132</v>
      </c>
      <c r="D56" s="494" t="s">
        <v>69</v>
      </c>
      <c r="E56" s="424"/>
      <c r="F56" s="424"/>
      <c r="G56" s="424"/>
      <c r="H56" s="424"/>
      <c r="I56" s="291" t="s">
        <v>134</v>
      </c>
      <c r="J56" s="283"/>
      <c r="K56" s="40"/>
      <c r="L56" s="1"/>
      <c r="M56" s="504" t="s">
        <v>439</v>
      </c>
      <c r="N56" s="505"/>
      <c r="O56" s="505"/>
      <c r="P56" s="505"/>
      <c r="Q56" s="505"/>
      <c r="R56" s="505"/>
      <c r="S56" s="505"/>
      <c r="T56" s="311" t="s">
        <v>437</v>
      </c>
      <c r="U56" s="310"/>
      <c r="V56" s="312" t="s">
        <v>175</v>
      </c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customHeight="1">
      <c r="A57" s="1"/>
      <c r="B57" s="43" t="s">
        <v>35</v>
      </c>
      <c r="C57" s="44" t="s">
        <v>132</v>
      </c>
      <c r="D57" s="499" t="s">
        <v>174</v>
      </c>
      <c r="E57" s="500"/>
      <c r="F57" s="500"/>
      <c r="G57" s="500"/>
      <c r="H57" s="500"/>
      <c r="I57" s="45" t="s">
        <v>134</v>
      </c>
      <c r="J57" s="46"/>
      <c r="K57" s="47"/>
      <c r="M57" s="506"/>
      <c r="N57" s="507"/>
      <c r="O57" s="507"/>
      <c r="P57" s="507"/>
      <c r="Q57" s="507"/>
      <c r="R57" s="507"/>
      <c r="S57" s="507"/>
      <c r="T57" s="313" t="s">
        <v>437</v>
      </c>
      <c r="U57" s="325" t="str">
        <f>IF(AF30="","",U55*(21-$AF$10)/(21-AF30))</f>
        <v/>
      </c>
      <c r="V57" s="314" t="s">
        <v>176</v>
      </c>
      <c r="W57" s="280"/>
      <c r="X57" s="280"/>
      <c r="Y57" s="288"/>
    </row>
    <row r="97" spans="46:46" ht="15" customHeight="1">
      <c r="AT97" s="216" t="s">
        <v>387</v>
      </c>
    </row>
  </sheetData>
  <mergeCells count="52">
    <mergeCell ref="M56:S57"/>
    <mergeCell ref="O52:S52"/>
    <mergeCell ref="M54:S55"/>
    <mergeCell ref="W44:W45"/>
    <mergeCell ref="O50:S50"/>
    <mergeCell ref="O51:S51"/>
    <mergeCell ref="O47:S47"/>
    <mergeCell ref="O48:S48"/>
    <mergeCell ref="O49:S49"/>
    <mergeCell ref="O53:S53"/>
    <mergeCell ref="D53:H53"/>
    <mergeCell ref="D54:H54"/>
    <mergeCell ref="D55:H55"/>
    <mergeCell ref="D56:H56"/>
    <mergeCell ref="D57:H57"/>
    <mergeCell ref="O35:S35"/>
    <mergeCell ref="O36:S36"/>
    <mergeCell ref="O37:S37"/>
    <mergeCell ref="D51:H51"/>
    <mergeCell ref="D52:H52"/>
    <mergeCell ref="D50:H50"/>
    <mergeCell ref="D48:H48"/>
    <mergeCell ref="D47:H47"/>
    <mergeCell ref="D37:H37"/>
    <mergeCell ref="D38:H38"/>
    <mergeCell ref="D35:H35"/>
    <mergeCell ref="D36:H36"/>
    <mergeCell ref="D49:H49"/>
    <mergeCell ref="O25:S25"/>
    <mergeCell ref="O26:S26"/>
    <mergeCell ref="D14:H14"/>
    <mergeCell ref="D13:H13"/>
    <mergeCell ref="D12:H12"/>
    <mergeCell ref="D22:H22"/>
    <mergeCell ref="D23:H23"/>
    <mergeCell ref="D24:H24"/>
    <mergeCell ref="D25:H25"/>
    <mergeCell ref="D26:H26"/>
    <mergeCell ref="O12:S12"/>
    <mergeCell ref="O22:S22"/>
    <mergeCell ref="O23:S23"/>
    <mergeCell ref="O13:S13"/>
    <mergeCell ref="O14:S14"/>
    <mergeCell ref="O24:S24"/>
    <mergeCell ref="B1:U1"/>
    <mergeCell ref="D2:F2"/>
    <mergeCell ref="D9:H9"/>
    <mergeCell ref="D10:H10"/>
    <mergeCell ref="D11:H11"/>
    <mergeCell ref="O9:S9"/>
    <mergeCell ref="O10:S10"/>
    <mergeCell ref="O11:S11"/>
  </mergeCells>
  <phoneticPr fontId="58" type="noConversion"/>
  <printOptions horizontalCentered="1" verticalCentered="1"/>
  <pageMargins left="0.11811023622047245" right="0.11811023622047245" top="0.35433070866141736" bottom="0.35433070866141736" header="0" footer="0"/>
  <pageSetup paperSize="9" scale="56" fitToWidth="0" orientation="landscape" r:id="rId1"/>
  <headerFooter>
    <oddFooter>&amp;LDFEN-QPF-14-01 (08)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100"/>
  <sheetViews>
    <sheetView workbookViewId="0"/>
  </sheetViews>
  <sheetFormatPr defaultColWidth="14.375" defaultRowHeight="15" customHeight="1"/>
  <cols>
    <col min="1" max="4" width="10.125" customWidth="1"/>
    <col min="5" max="5" width="10.375" customWidth="1"/>
    <col min="6" max="11" width="10.125" customWidth="1"/>
    <col min="12" max="13" width="10.625" customWidth="1"/>
    <col min="14" max="14" width="10.75" customWidth="1"/>
  </cols>
  <sheetData>
    <row r="1" spans="1:14" ht="16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7.75" customHeight="1">
      <c r="A2" s="543" t="s">
        <v>0</v>
      </c>
      <c r="B2" s="542"/>
      <c r="C2" s="545"/>
      <c r="D2" s="542"/>
      <c r="E2" s="546" t="s">
        <v>1</v>
      </c>
      <c r="F2" s="529"/>
      <c r="G2" s="529"/>
      <c r="H2" s="529"/>
      <c r="I2" s="529"/>
      <c r="J2" s="542"/>
      <c r="K2" s="365" t="s">
        <v>180</v>
      </c>
      <c r="L2" s="542"/>
      <c r="M2" s="545"/>
      <c r="N2" s="549"/>
    </row>
    <row r="3" spans="1:14" ht="27.75" customHeight="1">
      <c r="A3" s="544" t="s">
        <v>181</v>
      </c>
      <c r="B3" s="511"/>
      <c r="C3" s="511"/>
      <c r="D3" s="511"/>
      <c r="E3" s="511"/>
      <c r="F3" s="511"/>
      <c r="G3" s="511"/>
      <c r="H3" s="511"/>
      <c r="I3" s="512"/>
      <c r="J3" s="524" t="s">
        <v>4</v>
      </c>
      <c r="K3" s="511"/>
      <c r="L3" s="511"/>
      <c r="M3" s="511"/>
      <c r="N3" s="526"/>
    </row>
    <row r="4" spans="1:14" ht="24.75" customHeight="1">
      <c r="A4" s="520" t="s">
        <v>3</v>
      </c>
      <c r="B4" s="512"/>
      <c r="C4" s="524"/>
      <c r="D4" s="511"/>
      <c r="E4" s="511"/>
      <c r="F4" s="511"/>
      <c r="G4" s="511"/>
      <c r="H4" s="511"/>
      <c r="I4" s="512"/>
      <c r="J4" s="525" t="s">
        <v>7</v>
      </c>
      <c r="K4" s="512"/>
      <c r="L4" s="524" t="s">
        <v>182</v>
      </c>
      <c r="M4" s="511"/>
      <c r="N4" s="526"/>
    </row>
    <row r="5" spans="1:14" ht="24.75" customHeight="1">
      <c r="A5" s="515" t="s">
        <v>11</v>
      </c>
      <c r="B5" s="470"/>
      <c r="C5" s="519"/>
      <c r="D5" s="523"/>
      <c r="E5" s="523"/>
      <c r="F5" s="523"/>
      <c r="G5" s="523"/>
      <c r="H5" s="523"/>
      <c r="I5" s="523"/>
      <c r="J5" s="547" t="s">
        <v>178</v>
      </c>
      <c r="K5" s="470"/>
      <c r="L5" s="519" t="s">
        <v>183</v>
      </c>
      <c r="M5" s="523"/>
      <c r="N5" s="548"/>
    </row>
    <row r="6" spans="1:14" ht="15" customHeight="1">
      <c r="A6" s="423"/>
      <c r="B6" s="424"/>
      <c r="C6" s="424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</row>
    <row r="7" spans="1:14" ht="27.75" customHeight="1">
      <c r="A7" s="527" t="s">
        <v>20</v>
      </c>
      <c r="B7" s="482"/>
      <c r="C7" s="482"/>
      <c r="D7" s="482"/>
      <c r="E7" s="482"/>
      <c r="F7" s="482"/>
      <c r="G7" s="482"/>
      <c r="H7" s="482"/>
      <c r="I7" s="482"/>
      <c r="J7" s="482"/>
      <c r="K7" s="482"/>
      <c r="L7" s="482"/>
      <c r="M7" s="482"/>
      <c r="N7" s="482"/>
    </row>
    <row r="8" spans="1:14" ht="31.5" customHeight="1">
      <c r="A8" s="543" t="s">
        <v>23</v>
      </c>
      <c r="B8" s="542"/>
      <c r="C8" s="528"/>
      <c r="D8" s="529"/>
      <c r="E8" s="57" t="s">
        <v>24</v>
      </c>
      <c r="F8" s="530"/>
      <c r="G8" s="531"/>
      <c r="H8" s="535"/>
      <c r="I8" s="536"/>
      <c r="J8" s="541" t="s">
        <v>25</v>
      </c>
      <c r="K8" s="542"/>
      <c r="L8" s="528"/>
      <c r="M8" s="529"/>
      <c r="N8" s="58"/>
    </row>
    <row r="9" spans="1:14" ht="31.5" customHeight="1">
      <c r="A9" s="520" t="s">
        <v>28</v>
      </c>
      <c r="B9" s="512"/>
      <c r="C9" s="524"/>
      <c r="D9" s="512"/>
      <c r="E9" s="59" t="s">
        <v>24</v>
      </c>
      <c r="F9" s="514"/>
      <c r="G9" s="532"/>
      <c r="H9" s="537"/>
      <c r="I9" s="480"/>
      <c r="J9" s="540" t="s">
        <v>29</v>
      </c>
      <c r="K9" s="518"/>
      <c r="L9" s="524"/>
      <c r="M9" s="511"/>
      <c r="N9" s="60" t="s">
        <v>30</v>
      </c>
    </row>
    <row r="10" spans="1:14" ht="31.5" customHeight="1">
      <c r="A10" s="520" t="s">
        <v>184</v>
      </c>
      <c r="B10" s="512"/>
      <c r="C10" s="521"/>
      <c r="D10" s="511"/>
      <c r="E10" s="59" t="s">
        <v>185</v>
      </c>
      <c r="F10" s="533"/>
      <c r="G10" s="534"/>
      <c r="H10" s="538"/>
      <c r="I10" s="539"/>
      <c r="J10" s="540" t="s">
        <v>34</v>
      </c>
      <c r="K10" s="518"/>
      <c r="L10" s="524"/>
      <c r="M10" s="511"/>
      <c r="N10" s="60" t="s">
        <v>24</v>
      </c>
    </row>
    <row r="11" spans="1:14" ht="31.5" customHeight="1">
      <c r="A11" s="520" t="s">
        <v>36</v>
      </c>
      <c r="B11" s="512"/>
      <c r="C11" s="521"/>
      <c r="D11" s="511"/>
      <c r="E11" s="512"/>
      <c r="F11" s="557"/>
      <c r="G11" s="558"/>
      <c r="H11" s="561"/>
      <c r="I11" s="562"/>
      <c r="J11" s="540" t="s">
        <v>37</v>
      </c>
      <c r="K11" s="518"/>
      <c r="L11" s="521"/>
      <c r="M11" s="511"/>
      <c r="N11" s="526"/>
    </row>
    <row r="12" spans="1:14" ht="31.5" customHeight="1">
      <c r="A12" s="520" t="s">
        <v>39</v>
      </c>
      <c r="B12" s="512"/>
      <c r="C12" s="521"/>
      <c r="D12" s="512"/>
      <c r="E12" s="62" t="s">
        <v>24</v>
      </c>
      <c r="F12" s="514"/>
      <c r="G12" s="532"/>
      <c r="H12" s="537"/>
      <c r="I12" s="480"/>
      <c r="J12" s="554" t="s">
        <v>40</v>
      </c>
      <c r="K12" s="512"/>
      <c r="L12" s="555"/>
      <c r="M12" s="511"/>
      <c r="N12" s="526"/>
    </row>
    <row r="13" spans="1:14" ht="31.5" customHeight="1">
      <c r="A13" s="520" t="s">
        <v>43</v>
      </c>
      <c r="B13" s="512"/>
      <c r="C13" s="524"/>
      <c r="D13" s="511"/>
      <c r="E13" s="512"/>
      <c r="F13" s="559"/>
      <c r="G13" s="560"/>
      <c r="H13" s="563"/>
      <c r="I13" s="453"/>
      <c r="J13" s="554" t="s">
        <v>44</v>
      </c>
      <c r="K13" s="512"/>
      <c r="L13" s="521"/>
      <c r="M13" s="511"/>
      <c r="N13" s="526"/>
    </row>
    <row r="14" spans="1:14" ht="31.5" customHeight="1">
      <c r="A14" s="520" t="s">
        <v>47</v>
      </c>
      <c r="B14" s="512"/>
      <c r="C14" s="555" t="s">
        <v>186</v>
      </c>
      <c r="D14" s="511"/>
      <c r="E14" s="512"/>
      <c r="F14" s="10" t="s">
        <v>48</v>
      </c>
      <c r="G14" s="556"/>
      <c r="H14" s="500"/>
      <c r="I14" s="453"/>
      <c r="J14" s="525" t="s">
        <v>49</v>
      </c>
      <c r="K14" s="512"/>
      <c r="L14" s="521"/>
      <c r="M14" s="511"/>
      <c r="N14" s="60" t="s">
        <v>50</v>
      </c>
    </row>
    <row r="15" spans="1:14" ht="31.5" customHeight="1">
      <c r="A15" s="520" t="s">
        <v>53</v>
      </c>
      <c r="B15" s="512"/>
      <c r="C15" s="521"/>
      <c r="D15" s="511"/>
      <c r="E15" s="11" t="s">
        <v>54</v>
      </c>
      <c r="F15" s="11" t="s">
        <v>55</v>
      </c>
      <c r="G15" s="524"/>
      <c r="H15" s="511"/>
      <c r="I15" s="512"/>
      <c r="J15" s="554" t="s">
        <v>56</v>
      </c>
      <c r="K15" s="512"/>
      <c r="L15" s="521"/>
      <c r="M15" s="511"/>
      <c r="N15" s="60" t="s">
        <v>50</v>
      </c>
    </row>
    <row r="16" spans="1:14" ht="31.5" customHeight="1">
      <c r="A16" s="520" t="s">
        <v>187</v>
      </c>
      <c r="B16" s="512"/>
      <c r="C16" s="524"/>
      <c r="D16" s="511"/>
      <c r="E16" s="11" t="s">
        <v>54</v>
      </c>
      <c r="F16" s="11" t="s">
        <v>60</v>
      </c>
      <c r="G16" s="524"/>
      <c r="H16" s="511"/>
      <c r="I16" s="512"/>
      <c r="J16" s="525" t="s">
        <v>61</v>
      </c>
      <c r="K16" s="511"/>
      <c r="L16" s="511"/>
      <c r="M16" s="511"/>
      <c r="N16" s="526"/>
    </row>
    <row r="17" spans="1:14" ht="31.5" customHeight="1">
      <c r="A17" s="520" t="s">
        <v>59</v>
      </c>
      <c r="B17" s="512"/>
      <c r="C17" s="524"/>
      <c r="D17" s="511"/>
      <c r="E17" s="11" t="s">
        <v>54</v>
      </c>
      <c r="F17" s="11" t="s">
        <v>62</v>
      </c>
      <c r="G17" s="524"/>
      <c r="H17" s="511"/>
      <c r="I17" s="512"/>
      <c r="J17" s="525" t="s">
        <v>188</v>
      </c>
      <c r="K17" s="512"/>
      <c r="L17" s="521"/>
      <c r="M17" s="511"/>
      <c r="N17" s="526"/>
    </row>
    <row r="18" spans="1:14" ht="31.5" customHeight="1">
      <c r="A18" s="515" t="s">
        <v>189</v>
      </c>
      <c r="B18" s="470"/>
      <c r="C18" s="522"/>
      <c r="D18" s="523"/>
      <c r="E18" s="63" t="s">
        <v>24</v>
      </c>
      <c r="F18" s="64" t="s">
        <v>63</v>
      </c>
      <c r="G18" s="519"/>
      <c r="H18" s="523"/>
      <c r="I18" s="470"/>
      <c r="J18" s="547" t="s">
        <v>190</v>
      </c>
      <c r="K18" s="470"/>
      <c r="L18" s="522"/>
      <c r="M18" s="523"/>
      <c r="N18" s="548"/>
    </row>
    <row r="19" spans="1:14" ht="31.5" customHeight="1">
      <c r="A19" s="516" t="s">
        <v>125</v>
      </c>
      <c r="B19" s="517"/>
      <c r="C19" s="429" t="s">
        <v>191</v>
      </c>
      <c r="D19" s="518"/>
      <c r="E19" s="564" t="s">
        <v>70</v>
      </c>
      <c r="F19" s="518"/>
      <c r="G19" s="65" t="s">
        <v>73</v>
      </c>
      <c r="H19" s="65" t="s">
        <v>75</v>
      </c>
      <c r="I19" s="429" t="s">
        <v>192</v>
      </c>
      <c r="J19" s="518"/>
      <c r="K19" s="540" t="s">
        <v>193</v>
      </c>
      <c r="L19" s="484"/>
      <c r="M19" s="484"/>
      <c r="N19" s="485"/>
    </row>
    <row r="20" spans="1:14" ht="31.5" customHeight="1">
      <c r="A20" s="481"/>
      <c r="B20" s="483"/>
      <c r="C20" s="519"/>
      <c r="D20" s="470"/>
      <c r="E20" s="6"/>
      <c r="F20" s="64"/>
      <c r="G20" s="5"/>
      <c r="H20" s="64"/>
      <c r="I20" s="519"/>
      <c r="J20" s="470"/>
      <c r="K20" s="565" t="s">
        <v>194</v>
      </c>
      <c r="L20" s="470"/>
      <c r="M20" s="566" t="s">
        <v>195</v>
      </c>
      <c r="N20" s="548"/>
    </row>
    <row r="21" spans="1:14" ht="27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7"/>
    </row>
    <row r="22" spans="1:14" ht="27.75" customHeight="1">
      <c r="A22" s="553" t="s">
        <v>196</v>
      </c>
      <c r="B22" s="424"/>
      <c r="C22" s="424"/>
      <c r="D22" s="424"/>
      <c r="E22" s="424"/>
      <c r="F22" s="424"/>
      <c r="G22" s="424"/>
      <c r="H22" s="424"/>
      <c r="I22" s="424"/>
      <c r="J22" s="424"/>
      <c r="K22" s="424"/>
      <c r="L22" s="424"/>
      <c r="M22" s="424"/>
      <c r="N22" s="480"/>
    </row>
    <row r="23" spans="1:14" ht="45" customHeight="1">
      <c r="A23" s="487" t="s">
        <v>85</v>
      </c>
      <c r="B23" s="464" t="s">
        <v>197</v>
      </c>
      <c r="C23" s="464" t="s">
        <v>198</v>
      </c>
      <c r="D23" s="464" t="s">
        <v>199</v>
      </c>
      <c r="E23" s="464" t="s">
        <v>200</v>
      </c>
      <c r="F23" s="464" t="s">
        <v>201</v>
      </c>
      <c r="G23" s="464" t="s">
        <v>202</v>
      </c>
      <c r="H23" s="464" t="s">
        <v>90</v>
      </c>
      <c r="I23" s="387" t="s">
        <v>91</v>
      </c>
      <c r="J23" s="542"/>
      <c r="K23" s="464" t="s">
        <v>92</v>
      </c>
      <c r="L23" s="466" t="s">
        <v>93</v>
      </c>
      <c r="M23" s="568"/>
      <c r="N23" s="456" t="s">
        <v>94</v>
      </c>
    </row>
    <row r="24" spans="1:14" ht="45" customHeight="1">
      <c r="A24" s="551"/>
      <c r="B24" s="550"/>
      <c r="C24" s="550"/>
      <c r="D24" s="550"/>
      <c r="E24" s="550"/>
      <c r="F24" s="550"/>
      <c r="G24" s="550"/>
      <c r="H24" s="550"/>
      <c r="I24" s="14" t="s">
        <v>96</v>
      </c>
      <c r="J24" s="14" t="s">
        <v>97</v>
      </c>
      <c r="K24" s="550"/>
      <c r="L24" s="559"/>
      <c r="M24" s="500"/>
      <c r="N24" s="567"/>
    </row>
    <row r="25" spans="1:14" ht="31.5" customHeight="1">
      <c r="A25" s="15">
        <v>1</v>
      </c>
      <c r="B25" s="4"/>
      <c r="C25" s="61"/>
      <c r="D25" s="61"/>
      <c r="E25" s="61"/>
      <c r="F25" s="61"/>
      <c r="G25" s="61"/>
      <c r="H25" s="61"/>
      <c r="I25" s="61"/>
      <c r="J25" s="61"/>
      <c r="K25" s="61"/>
      <c r="L25" s="569"/>
      <c r="M25" s="511"/>
      <c r="N25" s="16"/>
    </row>
    <row r="26" spans="1:14" ht="31.5" customHeight="1">
      <c r="A26" s="15">
        <v>2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569"/>
      <c r="M26" s="511"/>
      <c r="N26" s="16"/>
    </row>
    <row r="27" spans="1:14" ht="31.5" customHeight="1">
      <c r="A27" s="15">
        <v>3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570"/>
      <c r="M27" s="511"/>
      <c r="N27" s="16"/>
    </row>
    <row r="28" spans="1:14" ht="31.5" customHeight="1">
      <c r="A28" s="15">
        <v>4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570"/>
      <c r="M28" s="511"/>
      <c r="N28" s="16"/>
    </row>
    <row r="29" spans="1:14" ht="31.5" customHeight="1">
      <c r="A29" s="15">
        <v>5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570"/>
      <c r="M29" s="511"/>
      <c r="N29" s="16"/>
    </row>
    <row r="30" spans="1:14" ht="31.5" customHeight="1">
      <c r="A30" s="15" t="s">
        <v>104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570"/>
      <c r="M30" s="511"/>
      <c r="N30" s="16"/>
    </row>
    <row r="31" spans="1:14" ht="31.5" customHeight="1">
      <c r="A31" s="489" t="s">
        <v>106</v>
      </c>
      <c r="B31" s="483"/>
      <c r="C31" s="66"/>
      <c r="D31" s="66"/>
      <c r="E31" s="66"/>
      <c r="F31" s="66"/>
      <c r="G31" s="67"/>
      <c r="H31" s="67"/>
      <c r="I31" s="552"/>
      <c r="J31" s="470"/>
      <c r="K31" s="66"/>
      <c r="L31" s="552"/>
      <c r="M31" s="523"/>
      <c r="N31" s="17"/>
    </row>
    <row r="32" spans="1:14" ht="10.5" customHeight="1">
      <c r="A32" s="18"/>
      <c r="B32" s="18"/>
      <c r="C32" s="18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ht="27.75" customHeight="1">
      <c r="A33" s="553" t="s">
        <v>109</v>
      </c>
      <c r="B33" s="424"/>
      <c r="C33" s="424"/>
      <c r="D33" s="424"/>
      <c r="E33" s="424"/>
      <c r="F33" s="424"/>
      <c r="G33" s="424"/>
      <c r="H33" s="424"/>
      <c r="I33" s="424"/>
      <c r="J33" s="424"/>
      <c r="K33" s="424"/>
      <c r="L33" s="424"/>
      <c r="M33" s="424"/>
      <c r="N33" s="424"/>
    </row>
    <row r="34" spans="1:14" ht="60" customHeight="1">
      <c r="A34" s="20" t="s">
        <v>110</v>
      </c>
      <c r="B34" s="21" t="s">
        <v>111</v>
      </c>
      <c r="C34" s="22" t="s">
        <v>112</v>
      </c>
      <c r="D34" s="22" t="s">
        <v>113</v>
      </c>
      <c r="E34" s="22" t="s">
        <v>114</v>
      </c>
      <c r="F34" s="387" t="s">
        <v>115</v>
      </c>
      <c r="G34" s="542"/>
      <c r="H34" s="23" t="s">
        <v>110</v>
      </c>
      <c r="I34" s="21" t="s">
        <v>111</v>
      </c>
      <c r="J34" s="22" t="s">
        <v>112</v>
      </c>
      <c r="K34" s="22" t="s">
        <v>113</v>
      </c>
      <c r="L34" s="22" t="s">
        <v>114</v>
      </c>
      <c r="M34" s="387" t="s">
        <v>115</v>
      </c>
      <c r="N34" s="549"/>
    </row>
    <row r="35" spans="1:14" ht="31.5" customHeight="1">
      <c r="A35" s="24">
        <v>1</v>
      </c>
      <c r="B35" s="68"/>
      <c r="C35" s="68"/>
      <c r="D35" s="68"/>
      <c r="E35" s="68"/>
      <c r="F35" s="524"/>
      <c r="G35" s="512"/>
      <c r="H35" s="25">
        <v>9</v>
      </c>
      <c r="I35" s="68"/>
      <c r="J35" s="68"/>
      <c r="K35" s="68"/>
      <c r="L35" s="68"/>
      <c r="M35" s="524"/>
      <c r="N35" s="526"/>
    </row>
    <row r="36" spans="1:14" ht="31.5" customHeight="1">
      <c r="A36" s="24">
        <v>2</v>
      </c>
      <c r="B36" s="68"/>
      <c r="C36" s="68"/>
      <c r="D36" s="68"/>
      <c r="E36" s="68"/>
      <c r="F36" s="524"/>
      <c r="G36" s="512"/>
      <c r="H36" s="25">
        <v>10</v>
      </c>
      <c r="I36" s="68"/>
      <c r="J36" s="68"/>
      <c r="K36" s="68"/>
      <c r="L36" s="68"/>
      <c r="M36" s="524"/>
      <c r="N36" s="526"/>
    </row>
    <row r="37" spans="1:14" ht="31.5" customHeight="1">
      <c r="A37" s="24">
        <v>3</v>
      </c>
      <c r="B37" s="68"/>
      <c r="C37" s="68"/>
      <c r="D37" s="68"/>
      <c r="E37" s="68"/>
      <c r="F37" s="524"/>
      <c r="G37" s="512"/>
      <c r="H37" s="25">
        <v>11</v>
      </c>
      <c r="I37" s="68"/>
      <c r="J37" s="68"/>
      <c r="K37" s="68"/>
      <c r="L37" s="68"/>
      <c r="M37" s="524"/>
      <c r="N37" s="526"/>
    </row>
    <row r="38" spans="1:14" ht="31.5" customHeight="1">
      <c r="A38" s="24">
        <v>4</v>
      </c>
      <c r="B38" s="68"/>
      <c r="C38" s="68"/>
      <c r="D38" s="68"/>
      <c r="E38" s="68"/>
      <c r="F38" s="524"/>
      <c r="G38" s="512"/>
      <c r="H38" s="25">
        <v>12</v>
      </c>
      <c r="I38" s="68"/>
      <c r="J38" s="68"/>
      <c r="K38" s="68"/>
      <c r="L38" s="68"/>
      <c r="M38" s="524"/>
      <c r="N38" s="526"/>
    </row>
    <row r="39" spans="1:14" ht="31.5" customHeight="1">
      <c r="A39" s="24">
        <v>5</v>
      </c>
      <c r="B39" s="68"/>
      <c r="C39" s="68"/>
      <c r="D39" s="68"/>
      <c r="E39" s="68"/>
      <c r="F39" s="524"/>
      <c r="G39" s="512"/>
      <c r="H39" s="25">
        <v>13</v>
      </c>
      <c r="I39" s="68"/>
      <c r="J39" s="68"/>
      <c r="K39" s="68"/>
      <c r="L39" s="68"/>
      <c r="M39" s="524"/>
      <c r="N39" s="526"/>
    </row>
    <row r="40" spans="1:14" ht="31.5" customHeight="1">
      <c r="A40" s="24">
        <v>6</v>
      </c>
      <c r="B40" s="68"/>
      <c r="C40" s="68"/>
      <c r="D40" s="68"/>
      <c r="E40" s="68"/>
      <c r="F40" s="524"/>
      <c r="G40" s="512"/>
      <c r="H40" s="25">
        <v>14</v>
      </c>
      <c r="I40" s="68"/>
      <c r="J40" s="68"/>
      <c r="K40" s="68"/>
      <c r="L40" s="68"/>
      <c r="M40" s="524"/>
      <c r="N40" s="526"/>
    </row>
    <row r="41" spans="1:14" ht="31.5" customHeight="1">
      <c r="A41" s="24">
        <v>7</v>
      </c>
      <c r="B41" s="68"/>
      <c r="C41" s="68"/>
      <c r="D41" s="68"/>
      <c r="E41" s="68"/>
      <c r="F41" s="524"/>
      <c r="G41" s="512"/>
      <c r="H41" s="25">
        <v>15</v>
      </c>
      <c r="I41" s="68"/>
      <c r="J41" s="68"/>
      <c r="K41" s="68"/>
      <c r="L41" s="68"/>
      <c r="M41" s="524"/>
      <c r="N41" s="526"/>
    </row>
    <row r="42" spans="1:14" ht="31.5" customHeight="1">
      <c r="A42" s="69">
        <v>8</v>
      </c>
      <c r="B42" s="70"/>
      <c r="C42" s="70"/>
      <c r="D42" s="70"/>
      <c r="E42" s="70"/>
      <c r="F42" s="519"/>
      <c r="G42" s="470"/>
      <c r="H42" s="71">
        <v>16</v>
      </c>
      <c r="I42" s="70"/>
      <c r="J42" s="70"/>
      <c r="K42" s="70"/>
      <c r="L42" s="70"/>
      <c r="M42" s="519"/>
      <c r="N42" s="548"/>
    </row>
    <row r="43" spans="1:14" ht="12.75" customHeight="1">
      <c r="A43" s="3"/>
      <c r="B43" s="3"/>
      <c r="C43" s="18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ht="16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ht="16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ht="16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ht="16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ht="16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1:14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1:14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1:14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1:14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1:14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1:14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1:14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1:14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1:14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1:14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1:14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1:14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1:14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1:14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1:14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1:14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1:14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1:14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1:14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1:14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1:14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1:14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1:14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</sheetData>
  <mergeCells count="119">
    <mergeCell ref="F39:G39"/>
    <mergeCell ref="F40:G40"/>
    <mergeCell ref="F41:G41"/>
    <mergeCell ref="F42:G42"/>
    <mergeCell ref="F35:G35"/>
    <mergeCell ref="F36:G36"/>
    <mergeCell ref="L25:M25"/>
    <mergeCell ref="L26:M26"/>
    <mergeCell ref="L27:M27"/>
    <mergeCell ref="L28:M28"/>
    <mergeCell ref="A33:N33"/>
    <mergeCell ref="F34:G34"/>
    <mergeCell ref="M35:N35"/>
    <mergeCell ref="M39:N39"/>
    <mergeCell ref="M40:N40"/>
    <mergeCell ref="M41:N41"/>
    <mergeCell ref="M42:N42"/>
    <mergeCell ref="M37:N37"/>
    <mergeCell ref="M38:N38"/>
    <mergeCell ref="L30:M30"/>
    <mergeCell ref="L29:M29"/>
    <mergeCell ref="M36:N36"/>
    <mergeCell ref="F38:G38"/>
    <mergeCell ref="A31:B31"/>
    <mergeCell ref="N23:N24"/>
    <mergeCell ref="L31:M31"/>
    <mergeCell ref="E23:E24"/>
    <mergeCell ref="F23:F24"/>
    <mergeCell ref="G23:G24"/>
    <mergeCell ref="H23:H24"/>
    <mergeCell ref="I23:J23"/>
    <mergeCell ref="L23:M24"/>
    <mergeCell ref="F37:G37"/>
    <mergeCell ref="M34:N34"/>
    <mergeCell ref="E19:F19"/>
    <mergeCell ref="K19:N19"/>
    <mergeCell ref="I20:J20"/>
    <mergeCell ref="K20:L20"/>
    <mergeCell ref="M20:N20"/>
    <mergeCell ref="I19:J19"/>
    <mergeCell ref="G18:I18"/>
    <mergeCell ref="G17:I17"/>
    <mergeCell ref="L17:N17"/>
    <mergeCell ref="J18:K18"/>
    <mergeCell ref="J17:K17"/>
    <mergeCell ref="L18:N18"/>
    <mergeCell ref="D23:D24"/>
    <mergeCell ref="A23:A24"/>
    <mergeCell ref="B23:B24"/>
    <mergeCell ref="C23:C24"/>
    <mergeCell ref="I31:J31"/>
    <mergeCell ref="K23:K24"/>
    <mergeCell ref="A22:N22"/>
    <mergeCell ref="J12:K12"/>
    <mergeCell ref="J13:K13"/>
    <mergeCell ref="A13:B13"/>
    <mergeCell ref="J14:K14"/>
    <mergeCell ref="L14:M14"/>
    <mergeCell ref="L12:N12"/>
    <mergeCell ref="L13:N13"/>
    <mergeCell ref="G15:I15"/>
    <mergeCell ref="G14:I14"/>
    <mergeCell ref="F11:G13"/>
    <mergeCell ref="H11:I13"/>
    <mergeCell ref="J11:K11"/>
    <mergeCell ref="J15:K15"/>
    <mergeCell ref="L11:N11"/>
    <mergeCell ref="C14:E14"/>
    <mergeCell ref="C13:E13"/>
    <mergeCell ref="C11:E11"/>
    <mergeCell ref="A8:B8"/>
    <mergeCell ref="A9:B9"/>
    <mergeCell ref="A14:B14"/>
    <mergeCell ref="A3:I3"/>
    <mergeCell ref="J3:N3"/>
    <mergeCell ref="A2:B2"/>
    <mergeCell ref="C2:D2"/>
    <mergeCell ref="E2:J2"/>
    <mergeCell ref="J5:K5"/>
    <mergeCell ref="L5:N5"/>
    <mergeCell ref="K2:L2"/>
    <mergeCell ref="M2:N2"/>
    <mergeCell ref="J16:N16"/>
    <mergeCell ref="G16:I16"/>
    <mergeCell ref="A11:B11"/>
    <mergeCell ref="A4:B4"/>
    <mergeCell ref="C4:I4"/>
    <mergeCell ref="A5:B5"/>
    <mergeCell ref="C5:I5"/>
    <mergeCell ref="A6:N6"/>
    <mergeCell ref="A7:N7"/>
    <mergeCell ref="C8:D8"/>
    <mergeCell ref="F8:G10"/>
    <mergeCell ref="H8:I10"/>
    <mergeCell ref="J9:K9"/>
    <mergeCell ref="J10:K10"/>
    <mergeCell ref="J4:K4"/>
    <mergeCell ref="L4:N4"/>
    <mergeCell ref="J8:K8"/>
    <mergeCell ref="L8:M8"/>
    <mergeCell ref="L9:M9"/>
    <mergeCell ref="L10:M10"/>
    <mergeCell ref="C9:D9"/>
    <mergeCell ref="A10:B10"/>
    <mergeCell ref="C10:D10"/>
    <mergeCell ref="L15:M15"/>
    <mergeCell ref="A18:B18"/>
    <mergeCell ref="A19:B20"/>
    <mergeCell ref="C19:D19"/>
    <mergeCell ref="C20:D20"/>
    <mergeCell ref="A12:B12"/>
    <mergeCell ref="C12:D12"/>
    <mergeCell ref="C15:D15"/>
    <mergeCell ref="A15:B15"/>
    <mergeCell ref="A17:B17"/>
    <mergeCell ref="A16:B16"/>
    <mergeCell ref="C18:D18"/>
    <mergeCell ref="C17:D17"/>
    <mergeCell ref="C16:D16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fitToWidth="0" orientation="portrait"/>
  <headerFooter>
    <oddFooter>&amp;LBVCPS-EAQPF-18-01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00"/>
  <sheetViews>
    <sheetView workbookViewId="0"/>
  </sheetViews>
  <sheetFormatPr defaultColWidth="14.375" defaultRowHeight="15" customHeight="1"/>
  <cols>
    <col min="1" max="6" width="17.25" customWidth="1"/>
    <col min="7" max="7" width="12.75" customWidth="1"/>
  </cols>
  <sheetData>
    <row r="1" spans="1:7" ht="16.5" customHeight="1">
      <c r="A1" s="571" t="s">
        <v>203</v>
      </c>
      <c r="B1" s="572"/>
      <c r="C1" s="572"/>
      <c r="D1" s="572"/>
      <c r="E1" s="572"/>
      <c r="F1" s="573"/>
      <c r="G1" s="1"/>
    </row>
    <row r="2" spans="1:7" ht="16.5" customHeight="1">
      <c r="A2" s="72">
        <f ca="1">TODAY()</f>
        <v>46262</v>
      </c>
      <c r="B2" s="73"/>
      <c r="C2" s="73"/>
      <c r="D2" s="73"/>
      <c r="E2" s="73"/>
      <c r="F2" s="74"/>
      <c r="G2" s="1"/>
    </row>
    <row r="3" spans="1:7" ht="16.5" customHeight="1">
      <c r="A3" s="75" t="s">
        <v>204</v>
      </c>
      <c r="B3" s="76" t="s">
        <v>205</v>
      </c>
      <c r="C3" s="76" t="s">
        <v>206</v>
      </c>
      <c r="D3" s="76" t="s">
        <v>207</v>
      </c>
      <c r="E3" s="76" t="s">
        <v>208</v>
      </c>
      <c r="F3" s="77" t="s">
        <v>209</v>
      </c>
      <c r="G3" s="78" t="s">
        <v>210</v>
      </c>
    </row>
    <row r="4" spans="1:7" ht="16.5" customHeight="1">
      <c r="A4" s="79" t="s">
        <v>211</v>
      </c>
      <c r="B4" s="80">
        <f t="shared" ref="B4:F4" si="0">IF(B7="","",AVERAGE(B7:B12))</f>
        <v>11.5</v>
      </c>
      <c r="C4" s="80">
        <f t="shared" si="0"/>
        <v>5.3500000000000005</v>
      </c>
      <c r="D4" s="80" t="str">
        <f t="shared" si="0"/>
        <v/>
      </c>
      <c r="E4" s="80" t="str">
        <f t="shared" si="0"/>
        <v/>
      </c>
      <c r="F4" s="80" t="str">
        <f t="shared" si="0"/>
        <v/>
      </c>
      <c r="G4" s="81">
        <v>10</v>
      </c>
    </row>
    <row r="5" spans="1:7" ht="16.5" customHeight="1">
      <c r="A5" s="82" t="s">
        <v>212</v>
      </c>
      <c r="B5" s="83">
        <f t="shared" ref="B5:F5" si="1">MAX(B7:B12)</f>
        <v>12</v>
      </c>
      <c r="C5" s="83">
        <f t="shared" si="1"/>
        <v>5.7</v>
      </c>
      <c r="D5" s="83">
        <f t="shared" si="1"/>
        <v>0</v>
      </c>
      <c r="E5" s="83">
        <f t="shared" si="1"/>
        <v>0</v>
      </c>
      <c r="F5" s="84">
        <f t="shared" si="1"/>
        <v>0</v>
      </c>
      <c r="G5" s="1"/>
    </row>
    <row r="6" spans="1:7" ht="16.5" customHeight="1">
      <c r="A6" s="85" t="s">
        <v>213</v>
      </c>
      <c r="B6" s="86">
        <f t="shared" ref="B6:F6" si="2">MIN(B7:B12)</f>
        <v>11</v>
      </c>
      <c r="C6" s="86">
        <f t="shared" si="2"/>
        <v>5.2</v>
      </c>
      <c r="D6" s="86">
        <f t="shared" si="2"/>
        <v>0</v>
      </c>
      <c r="E6" s="86">
        <f t="shared" si="2"/>
        <v>0</v>
      </c>
      <c r="F6" s="87">
        <f t="shared" si="2"/>
        <v>0</v>
      </c>
      <c r="G6" s="1"/>
    </row>
    <row r="7" spans="1:7" ht="16.5" customHeight="1">
      <c r="A7" s="88"/>
      <c r="B7" s="89">
        <v>12</v>
      </c>
      <c r="C7" s="89">
        <v>5.7</v>
      </c>
      <c r="D7" s="89"/>
      <c r="E7" s="89"/>
      <c r="F7" s="90"/>
      <c r="G7" s="1"/>
    </row>
    <row r="8" spans="1:7" ht="16.5" customHeight="1">
      <c r="A8" s="91"/>
      <c r="B8" s="92">
        <v>11</v>
      </c>
      <c r="C8" s="92">
        <v>5.2</v>
      </c>
      <c r="D8" s="92"/>
      <c r="E8" s="92"/>
      <c r="F8" s="93"/>
      <c r="G8" s="1"/>
    </row>
    <row r="9" spans="1:7" ht="16.5" customHeight="1">
      <c r="A9" s="91"/>
      <c r="B9" s="92">
        <v>12</v>
      </c>
      <c r="C9" s="92">
        <v>5.4</v>
      </c>
      <c r="D9" s="92"/>
      <c r="E9" s="92"/>
      <c r="F9" s="93"/>
      <c r="G9" s="1"/>
    </row>
    <row r="10" spans="1:7" ht="16.5" customHeight="1">
      <c r="A10" s="91"/>
      <c r="B10" s="92">
        <v>12</v>
      </c>
      <c r="C10" s="92">
        <v>5.2</v>
      </c>
      <c r="D10" s="92"/>
      <c r="E10" s="92"/>
      <c r="F10" s="93"/>
      <c r="G10" s="1"/>
    </row>
    <row r="11" spans="1:7" ht="16.5" customHeight="1">
      <c r="A11" s="91"/>
      <c r="B11" s="92">
        <v>11</v>
      </c>
      <c r="C11" s="92">
        <v>5.4</v>
      </c>
      <c r="D11" s="92"/>
      <c r="E11" s="92"/>
      <c r="F11" s="93"/>
      <c r="G11" s="1"/>
    </row>
    <row r="12" spans="1:7" ht="16.5" customHeight="1">
      <c r="A12" s="94"/>
      <c r="B12" s="95">
        <v>11</v>
      </c>
      <c r="C12" s="95">
        <v>5.2</v>
      </c>
      <c r="D12" s="95"/>
      <c r="E12" s="95"/>
      <c r="F12" s="96"/>
      <c r="G12" s="1"/>
    </row>
    <row r="13" spans="1:7" ht="16.5" customHeight="1">
      <c r="A13" s="1"/>
      <c r="B13" s="1"/>
      <c r="C13" s="1"/>
      <c r="D13" s="1"/>
      <c r="E13" s="1"/>
      <c r="F13" s="1"/>
      <c r="G13" s="1"/>
    </row>
    <row r="14" spans="1:7" ht="16.5" customHeight="1">
      <c r="A14" s="1"/>
      <c r="B14" s="1"/>
      <c r="C14" s="1"/>
      <c r="D14" s="1"/>
      <c r="E14" s="1"/>
      <c r="F14" s="1"/>
      <c r="G14" s="1"/>
    </row>
    <row r="15" spans="1:7" ht="16.5" customHeight="1">
      <c r="A15" s="1"/>
      <c r="B15" s="1"/>
      <c r="C15" s="1"/>
      <c r="D15" s="1"/>
      <c r="E15" s="1"/>
      <c r="F15" s="1"/>
      <c r="G15" s="1"/>
    </row>
    <row r="16" spans="1:7" ht="16.5" customHeight="1">
      <c r="A16" s="1"/>
      <c r="B16" s="1"/>
      <c r="C16" s="1"/>
      <c r="D16" s="1"/>
      <c r="E16" s="1"/>
      <c r="F16" s="1"/>
      <c r="G16" s="1"/>
    </row>
    <row r="17" spans="1:7" ht="16.5" customHeight="1">
      <c r="A17" s="1"/>
      <c r="B17" s="1"/>
      <c r="C17" s="1"/>
      <c r="D17" s="1"/>
      <c r="E17" s="1"/>
      <c r="F17" s="1"/>
      <c r="G17" s="1"/>
    </row>
    <row r="18" spans="1:7" ht="16.5" customHeight="1">
      <c r="A18" s="1"/>
      <c r="B18" s="1"/>
      <c r="C18" s="1"/>
      <c r="D18" s="1"/>
      <c r="E18" s="1"/>
      <c r="F18" s="1"/>
      <c r="G18" s="1"/>
    </row>
    <row r="19" spans="1:7" ht="16.5" customHeight="1">
      <c r="A19" s="1"/>
      <c r="B19" s="1"/>
      <c r="C19" s="1"/>
      <c r="D19" s="1"/>
      <c r="E19" s="1"/>
      <c r="F19" s="1"/>
      <c r="G19" s="1"/>
    </row>
    <row r="20" spans="1:7" ht="16.5" customHeight="1">
      <c r="A20" s="1"/>
      <c r="B20" s="1"/>
      <c r="C20" s="1"/>
      <c r="D20" s="1"/>
      <c r="E20" s="1"/>
      <c r="F20" s="1"/>
      <c r="G20" s="1"/>
    </row>
    <row r="21" spans="1:7" ht="16.5" customHeight="1">
      <c r="A21" s="1"/>
      <c r="B21" s="1"/>
      <c r="C21" s="1"/>
      <c r="D21" s="1"/>
      <c r="E21" s="1"/>
      <c r="F21" s="1"/>
      <c r="G21" s="1"/>
    </row>
    <row r="22" spans="1:7" ht="16.5" customHeight="1">
      <c r="A22" s="1"/>
      <c r="B22" s="1"/>
      <c r="C22" s="1"/>
      <c r="D22" s="1"/>
      <c r="E22" s="1"/>
      <c r="F22" s="1"/>
      <c r="G22" s="1"/>
    </row>
    <row r="23" spans="1:7" ht="16.5" customHeight="1">
      <c r="A23" s="1"/>
      <c r="B23" s="1"/>
      <c r="C23" s="1"/>
      <c r="D23" s="1"/>
      <c r="E23" s="1"/>
      <c r="F23" s="1"/>
      <c r="G23" s="1"/>
    </row>
    <row r="24" spans="1:7" ht="16.5" customHeight="1">
      <c r="A24" s="1"/>
      <c r="B24" s="1"/>
      <c r="C24" s="1"/>
      <c r="D24" s="1"/>
      <c r="E24" s="1"/>
      <c r="F24" s="1"/>
      <c r="G24" s="1"/>
    </row>
    <row r="25" spans="1:7" ht="16.5" customHeight="1">
      <c r="A25" s="1"/>
      <c r="B25" s="1"/>
      <c r="C25" s="1"/>
      <c r="D25" s="1"/>
      <c r="E25" s="1"/>
      <c r="F25" s="1"/>
      <c r="G25" s="1"/>
    </row>
    <row r="26" spans="1:7" ht="16.5" customHeight="1">
      <c r="A26" s="1"/>
      <c r="B26" s="1"/>
      <c r="C26" s="1"/>
      <c r="D26" s="1"/>
      <c r="E26" s="1"/>
      <c r="F26" s="1"/>
      <c r="G26" s="1"/>
    </row>
    <row r="27" spans="1:7" ht="16.5" customHeight="1">
      <c r="A27" s="1"/>
      <c r="B27" s="1"/>
      <c r="C27" s="1"/>
      <c r="D27" s="1"/>
      <c r="E27" s="1"/>
      <c r="F27" s="1"/>
      <c r="G27" s="1"/>
    </row>
    <row r="28" spans="1:7" ht="16.5" customHeight="1">
      <c r="A28" s="1"/>
      <c r="B28" s="1"/>
      <c r="C28" s="1"/>
      <c r="D28" s="1"/>
      <c r="E28" s="1"/>
      <c r="F28" s="1"/>
      <c r="G28" s="1"/>
    </row>
    <row r="29" spans="1:7" ht="16.5" customHeight="1">
      <c r="A29" s="1"/>
      <c r="B29" s="1"/>
      <c r="C29" s="1"/>
      <c r="D29" s="1"/>
      <c r="E29" s="1"/>
      <c r="F29" s="1"/>
      <c r="G29" s="1"/>
    </row>
    <row r="30" spans="1:7" ht="16.5" customHeight="1">
      <c r="A30" s="1"/>
      <c r="B30" s="1"/>
      <c r="C30" s="1"/>
      <c r="D30" s="1"/>
      <c r="E30" s="1"/>
      <c r="F30" s="1"/>
      <c r="G30" s="1"/>
    </row>
    <row r="31" spans="1:7" ht="16.5" customHeight="1">
      <c r="A31" s="1"/>
      <c r="B31" s="1"/>
      <c r="C31" s="1"/>
      <c r="D31" s="1"/>
      <c r="E31" s="1"/>
      <c r="F31" s="1"/>
      <c r="G31" s="1"/>
    </row>
    <row r="32" spans="1:7" ht="16.5" customHeight="1">
      <c r="A32" s="1"/>
      <c r="B32" s="1"/>
      <c r="C32" s="1"/>
      <c r="D32" s="1"/>
      <c r="E32" s="1"/>
      <c r="F32" s="1"/>
      <c r="G32" s="1"/>
    </row>
    <row r="33" spans="1:7" ht="16.5" customHeight="1">
      <c r="A33" s="1"/>
      <c r="B33" s="1"/>
      <c r="C33" s="1"/>
      <c r="D33" s="1"/>
      <c r="E33" s="1"/>
      <c r="F33" s="1"/>
      <c r="G33" s="1"/>
    </row>
    <row r="34" spans="1:7" ht="16.5" customHeight="1">
      <c r="A34" s="1"/>
      <c r="B34" s="1"/>
      <c r="C34" s="1"/>
      <c r="D34" s="1"/>
      <c r="E34" s="1"/>
      <c r="F34" s="1"/>
      <c r="G34" s="1"/>
    </row>
    <row r="35" spans="1:7" ht="16.5" customHeight="1">
      <c r="A35" s="1"/>
      <c r="B35" s="1"/>
      <c r="C35" s="1"/>
      <c r="D35" s="1"/>
      <c r="E35" s="1"/>
      <c r="F35" s="1"/>
      <c r="G35" s="1"/>
    </row>
    <row r="36" spans="1:7" ht="16.5" customHeight="1">
      <c r="A36" s="1"/>
      <c r="B36" s="1"/>
      <c r="C36" s="1"/>
      <c r="D36" s="1"/>
      <c r="E36" s="1"/>
      <c r="F36" s="1"/>
      <c r="G36" s="1"/>
    </row>
    <row r="37" spans="1:7" ht="16.5" customHeight="1">
      <c r="A37" s="1"/>
      <c r="B37" s="1"/>
      <c r="C37" s="1"/>
      <c r="D37" s="1"/>
      <c r="E37" s="1"/>
      <c r="F37" s="1"/>
      <c r="G37" s="1"/>
    </row>
    <row r="38" spans="1:7" ht="16.5" customHeight="1">
      <c r="A38" s="1"/>
      <c r="B38" s="1"/>
      <c r="C38" s="1"/>
      <c r="D38" s="1"/>
      <c r="E38" s="1"/>
      <c r="F38" s="1"/>
      <c r="G38" s="1"/>
    </row>
    <row r="39" spans="1:7" ht="16.5" customHeight="1">
      <c r="A39" s="1"/>
      <c r="B39" s="1"/>
      <c r="C39" s="1"/>
      <c r="D39" s="1"/>
      <c r="E39" s="1"/>
      <c r="F39" s="1"/>
      <c r="G39" s="1"/>
    </row>
    <row r="40" spans="1:7" ht="16.5" customHeight="1">
      <c r="A40" s="1"/>
      <c r="B40" s="1"/>
      <c r="C40" s="1"/>
      <c r="D40" s="1"/>
      <c r="E40" s="1"/>
      <c r="F40" s="1"/>
      <c r="G40" s="1"/>
    </row>
    <row r="41" spans="1:7" ht="16.5" customHeight="1">
      <c r="A41" s="1"/>
      <c r="B41" s="1"/>
      <c r="C41" s="1"/>
      <c r="D41" s="1"/>
      <c r="E41" s="1"/>
      <c r="F41" s="1"/>
      <c r="G41" s="1"/>
    </row>
    <row r="42" spans="1:7" ht="16.5" customHeight="1">
      <c r="A42" s="1"/>
      <c r="B42" s="1"/>
      <c r="C42" s="1"/>
      <c r="D42" s="1"/>
      <c r="E42" s="1"/>
      <c r="F42" s="1"/>
      <c r="G42" s="1"/>
    </row>
    <row r="43" spans="1:7" ht="16.5" customHeight="1">
      <c r="A43" s="1"/>
      <c r="B43" s="1"/>
      <c r="C43" s="1"/>
      <c r="D43" s="1"/>
      <c r="E43" s="1"/>
      <c r="F43" s="1"/>
      <c r="G43" s="1"/>
    </row>
    <row r="44" spans="1:7" ht="16.5" customHeight="1">
      <c r="A44" s="1"/>
      <c r="B44" s="1"/>
      <c r="C44" s="1"/>
      <c r="D44" s="1"/>
      <c r="E44" s="1"/>
      <c r="F44" s="1"/>
      <c r="G44" s="1"/>
    </row>
    <row r="45" spans="1:7" ht="16.5" customHeight="1">
      <c r="A45" s="1"/>
      <c r="B45" s="1"/>
      <c r="C45" s="1"/>
      <c r="D45" s="1"/>
      <c r="E45" s="1"/>
      <c r="F45" s="1"/>
      <c r="G45" s="1"/>
    </row>
    <row r="46" spans="1:7" ht="16.5" customHeight="1">
      <c r="A46" s="1"/>
      <c r="B46" s="1"/>
      <c r="C46" s="1"/>
      <c r="D46" s="1"/>
      <c r="E46" s="1"/>
      <c r="F46" s="1"/>
      <c r="G46" s="1"/>
    </row>
    <row r="47" spans="1:7" ht="16.5" customHeight="1">
      <c r="A47" s="1"/>
      <c r="B47" s="1"/>
      <c r="C47" s="1"/>
      <c r="D47" s="1"/>
      <c r="E47" s="1"/>
      <c r="F47" s="1"/>
      <c r="G47" s="1"/>
    </row>
    <row r="48" spans="1:7" ht="16.5" customHeight="1">
      <c r="A48" s="1"/>
      <c r="B48" s="1"/>
      <c r="C48" s="1"/>
      <c r="D48" s="1"/>
      <c r="E48" s="1"/>
      <c r="F48" s="1"/>
      <c r="G48" s="1"/>
    </row>
    <row r="49" spans="1:7" ht="16.5" customHeight="1">
      <c r="A49" s="1"/>
      <c r="B49" s="1"/>
      <c r="C49" s="1"/>
      <c r="D49" s="1"/>
      <c r="E49" s="1"/>
      <c r="F49" s="1"/>
      <c r="G49" s="1"/>
    </row>
    <row r="50" spans="1:7" ht="16.5" customHeight="1">
      <c r="A50" s="1"/>
      <c r="B50" s="1"/>
      <c r="C50" s="1"/>
      <c r="D50" s="1"/>
      <c r="E50" s="1"/>
      <c r="F50" s="1"/>
      <c r="G50" s="1"/>
    </row>
    <row r="51" spans="1:7" ht="16.5" customHeight="1">
      <c r="A51" s="1"/>
      <c r="B51" s="1"/>
      <c r="C51" s="1"/>
      <c r="D51" s="1"/>
      <c r="E51" s="1"/>
      <c r="F51" s="1"/>
      <c r="G51" s="1"/>
    </row>
    <row r="52" spans="1:7" ht="16.5" customHeight="1">
      <c r="A52" s="1"/>
      <c r="B52" s="1"/>
      <c r="C52" s="1"/>
      <c r="D52" s="1"/>
      <c r="E52" s="1"/>
      <c r="F52" s="1"/>
      <c r="G52" s="1"/>
    </row>
    <row r="53" spans="1:7" ht="16.5" customHeight="1">
      <c r="A53" s="1"/>
      <c r="B53" s="1"/>
      <c r="C53" s="1"/>
      <c r="D53" s="1"/>
      <c r="E53" s="1"/>
      <c r="F53" s="1"/>
      <c r="G53" s="1"/>
    </row>
    <row r="54" spans="1:7" ht="16.5" customHeight="1">
      <c r="A54" s="1"/>
      <c r="B54" s="1"/>
      <c r="C54" s="1"/>
      <c r="D54" s="1"/>
      <c r="E54" s="1"/>
      <c r="F54" s="1"/>
      <c r="G54" s="1"/>
    </row>
    <row r="55" spans="1:7" ht="16.5" customHeight="1">
      <c r="A55" s="1"/>
      <c r="B55" s="1"/>
      <c r="C55" s="1"/>
      <c r="D55" s="1"/>
      <c r="E55" s="1"/>
      <c r="F55" s="1"/>
      <c r="G55" s="1"/>
    </row>
    <row r="56" spans="1:7" ht="16.5" customHeight="1">
      <c r="A56" s="1"/>
      <c r="B56" s="1"/>
      <c r="C56" s="1"/>
      <c r="D56" s="1"/>
      <c r="E56" s="1"/>
      <c r="F56" s="1"/>
      <c r="G56" s="1"/>
    </row>
    <row r="57" spans="1:7" ht="16.5" customHeight="1">
      <c r="A57" s="1"/>
      <c r="B57" s="1"/>
      <c r="C57" s="1"/>
      <c r="D57" s="1"/>
      <c r="E57" s="1"/>
      <c r="F57" s="1"/>
      <c r="G57" s="1"/>
    </row>
    <row r="58" spans="1:7" ht="16.5" customHeight="1">
      <c r="A58" s="1"/>
      <c r="B58" s="1"/>
      <c r="C58" s="1"/>
      <c r="D58" s="1"/>
      <c r="E58" s="1"/>
      <c r="F58" s="1"/>
      <c r="G58" s="1"/>
    </row>
    <row r="59" spans="1:7" ht="16.5" customHeight="1">
      <c r="A59" s="1"/>
      <c r="B59" s="1"/>
      <c r="C59" s="1"/>
      <c r="D59" s="1"/>
      <c r="E59" s="1"/>
      <c r="F59" s="1"/>
      <c r="G59" s="1"/>
    </row>
    <row r="60" spans="1:7" ht="16.5" customHeight="1">
      <c r="A60" s="1"/>
      <c r="B60" s="1"/>
      <c r="C60" s="1"/>
      <c r="D60" s="1"/>
      <c r="E60" s="1"/>
      <c r="F60" s="1"/>
      <c r="G60" s="1"/>
    </row>
    <row r="61" spans="1:7" ht="16.5" customHeight="1">
      <c r="A61" s="1"/>
      <c r="B61" s="1"/>
      <c r="C61" s="1"/>
      <c r="D61" s="1"/>
      <c r="E61" s="1"/>
      <c r="F61" s="1"/>
      <c r="G61" s="1"/>
    </row>
    <row r="62" spans="1:7" ht="16.5" customHeight="1">
      <c r="A62" s="1"/>
      <c r="B62" s="1"/>
      <c r="C62" s="1"/>
      <c r="D62" s="1"/>
      <c r="E62" s="1"/>
      <c r="F62" s="1"/>
      <c r="G62" s="1"/>
    </row>
    <row r="63" spans="1:7" ht="16.5" customHeight="1">
      <c r="A63" s="1"/>
      <c r="B63" s="1"/>
      <c r="C63" s="1"/>
      <c r="D63" s="1"/>
      <c r="E63" s="1"/>
      <c r="F63" s="1"/>
      <c r="G63" s="1"/>
    </row>
    <row r="64" spans="1:7" ht="16.5" customHeight="1">
      <c r="A64" s="1"/>
      <c r="B64" s="1"/>
      <c r="C64" s="1"/>
      <c r="D64" s="1"/>
      <c r="E64" s="1"/>
      <c r="F64" s="1"/>
      <c r="G64" s="1"/>
    </row>
    <row r="65" spans="1:7" ht="16.5" customHeight="1">
      <c r="A65" s="1"/>
      <c r="B65" s="1"/>
      <c r="C65" s="1"/>
      <c r="D65" s="1"/>
      <c r="E65" s="1"/>
      <c r="F65" s="1"/>
      <c r="G65" s="1"/>
    </row>
    <row r="66" spans="1:7" ht="16.5" customHeight="1">
      <c r="A66" s="1"/>
      <c r="B66" s="1"/>
      <c r="C66" s="1"/>
      <c r="D66" s="1"/>
      <c r="E66" s="1"/>
      <c r="F66" s="1"/>
      <c r="G66" s="1"/>
    </row>
    <row r="67" spans="1:7" ht="16.5" customHeight="1">
      <c r="A67" s="1"/>
      <c r="B67" s="1"/>
      <c r="C67" s="1"/>
      <c r="D67" s="1"/>
      <c r="E67" s="1"/>
      <c r="F67" s="1"/>
      <c r="G67" s="1"/>
    </row>
    <row r="68" spans="1:7" ht="16.5" customHeight="1">
      <c r="A68" s="1"/>
      <c r="B68" s="1"/>
      <c r="C68" s="1"/>
      <c r="D68" s="1"/>
      <c r="E68" s="1"/>
      <c r="F68" s="1"/>
      <c r="G68" s="1"/>
    </row>
    <row r="69" spans="1:7" ht="16.5" customHeight="1">
      <c r="A69" s="1"/>
      <c r="B69" s="1"/>
      <c r="C69" s="1"/>
      <c r="D69" s="1"/>
      <c r="E69" s="1"/>
      <c r="F69" s="1"/>
      <c r="G69" s="1"/>
    </row>
    <row r="70" spans="1:7" ht="16.5" customHeight="1">
      <c r="A70" s="1"/>
      <c r="B70" s="1"/>
      <c r="C70" s="1"/>
      <c r="D70" s="1"/>
      <c r="E70" s="1"/>
      <c r="F70" s="1"/>
      <c r="G70" s="1"/>
    </row>
    <row r="71" spans="1:7" ht="16.5" customHeight="1">
      <c r="A71" s="1"/>
      <c r="B71" s="1"/>
      <c r="C71" s="1"/>
      <c r="D71" s="1"/>
      <c r="E71" s="1"/>
      <c r="F71" s="1"/>
      <c r="G71" s="1"/>
    </row>
    <row r="72" spans="1:7" ht="16.5" customHeight="1">
      <c r="A72" s="1"/>
      <c r="B72" s="1"/>
      <c r="C72" s="1"/>
      <c r="D72" s="1"/>
      <c r="E72" s="1"/>
      <c r="F72" s="1"/>
      <c r="G72" s="1"/>
    </row>
    <row r="73" spans="1:7" ht="16.5" customHeight="1">
      <c r="A73" s="1"/>
      <c r="B73" s="1"/>
      <c r="C73" s="1"/>
      <c r="D73" s="1"/>
      <c r="E73" s="1"/>
      <c r="F73" s="1"/>
      <c r="G73" s="1"/>
    </row>
    <row r="74" spans="1:7" ht="16.5" customHeight="1">
      <c r="A74" s="1"/>
      <c r="B74" s="1"/>
      <c r="C74" s="1"/>
      <c r="D74" s="1"/>
      <c r="E74" s="1"/>
      <c r="F74" s="1"/>
      <c r="G74" s="1"/>
    </row>
    <row r="75" spans="1:7" ht="16.5" customHeight="1">
      <c r="A75" s="1"/>
      <c r="B75" s="1"/>
      <c r="C75" s="1"/>
      <c r="D75" s="1"/>
      <c r="E75" s="1"/>
      <c r="F75" s="1"/>
      <c r="G75" s="1"/>
    </row>
    <row r="76" spans="1:7" ht="16.5" customHeight="1">
      <c r="A76" s="1"/>
      <c r="B76" s="1"/>
      <c r="C76" s="1"/>
      <c r="D76" s="1"/>
      <c r="E76" s="1"/>
      <c r="F76" s="1"/>
      <c r="G76" s="1"/>
    </row>
    <row r="77" spans="1:7" ht="16.5" customHeight="1">
      <c r="A77" s="1"/>
      <c r="B77" s="1"/>
      <c r="C77" s="1"/>
      <c r="D77" s="1"/>
      <c r="E77" s="1"/>
      <c r="F77" s="1"/>
      <c r="G77" s="1"/>
    </row>
    <row r="78" spans="1:7" ht="16.5" customHeight="1">
      <c r="A78" s="1"/>
      <c r="B78" s="1"/>
      <c r="C78" s="1"/>
      <c r="D78" s="1"/>
      <c r="E78" s="1"/>
      <c r="F78" s="1"/>
      <c r="G78" s="1"/>
    </row>
    <row r="79" spans="1:7" ht="16.5" customHeight="1">
      <c r="A79" s="1"/>
      <c r="B79" s="1"/>
      <c r="C79" s="1"/>
      <c r="D79" s="1"/>
      <c r="E79" s="1"/>
      <c r="F79" s="1"/>
      <c r="G79" s="1"/>
    </row>
    <row r="80" spans="1:7" ht="16.5" customHeight="1">
      <c r="A80" s="1"/>
      <c r="B80" s="1"/>
      <c r="C80" s="1"/>
      <c r="D80" s="1"/>
      <c r="E80" s="1"/>
      <c r="F80" s="1"/>
      <c r="G80" s="1"/>
    </row>
    <row r="81" spans="1:7" ht="16.5" customHeight="1">
      <c r="A81" s="1"/>
      <c r="B81" s="1"/>
      <c r="C81" s="1"/>
      <c r="D81" s="1"/>
      <c r="E81" s="1"/>
      <c r="F81" s="1"/>
      <c r="G81" s="1"/>
    </row>
    <row r="82" spans="1:7" ht="16.5" customHeight="1">
      <c r="A82" s="1"/>
      <c r="B82" s="1"/>
      <c r="C82" s="1"/>
      <c r="D82" s="1"/>
      <c r="E82" s="1"/>
      <c r="F82" s="1"/>
      <c r="G82" s="1"/>
    </row>
    <row r="83" spans="1:7" ht="16.5" customHeight="1">
      <c r="A83" s="1"/>
      <c r="B83" s="1"/>
      <c r="C83" s="1"/>
      <c r="D83" s="1"/>
      <c r="E83" s="1"/>
      <c r="F83" s="1"/>
      <c r="G83" s="1"/>
    </row>
    <row r="84" spans="1:7" ht="16.5" customHeight="1">
      <c r="A84" s="1"/>
      <c r="B84" s="1"/>
      <c r="C84" s="1"/>
      <c r="D84" s="1"/>
      <c r="E84" s="1"/>
      <c r="F84" s="1"/>
      <c r="G84" s="1"/>
    </row>
    <row r="85" spans="1:7" ht="16.5" customHeight="1">
      <c r="A85" s="1"/>
      <c r="B85" s="1"/>
      <c r="C85" s="1"/>
      <c r="D85" s="1"/>
      <c r="E85" s="1"/>
      <c r="F85" s="1"/>
      <c r="G85" s="1"/>
    </row>
    <row r="86" spans="1:7" ht="16.5" customHeight="1">
      <c r="A86" s="1"/>
      <c r="B86" s="1"/>
      <c r="C86" s="1"/>
      <c r="D86" s="1"/>
      <c r="E86" s="1"/>
      <c r="F86" s="1"/>
      <c r="G86" s="1"/>
    </row>
    <row r="87" spans="1:7" ht="16.5" customHeight="1">
      <c r="A87" s="1"/>
      <c r="B87" s="1"/>
      <c r="C87" s="1"/>
      <c r="D87" s="1"/>
      <c r="E87" s="1"/>
      <c r="F87" s="1"/>
      <c r="G87" s="1"/>
    </row>
    <row r="88" spans="1:7" ht="16.5" customHeight="1">
      <c r="A88" s="1"/>
      <c r="B88" s="1"/>
      <c r="C88" s="1"/>
      <c r="D88" s="1"/>
      <c r="E88" s="1"/>
      <c r="F88" s="1"/>
      <c r="G88" s="1"/>
    </row>
    <row r="89" spans="1:7" ht="16.5" customHeight="1">
      <c r="A89" s="1"/>
      <c r="B89" s="1"/>
      <c r="C89" s="1"/>
      <c r="D89" s="1"/>
      <c r="E89" s="1"/>
      <c r="F89" s="1"/>
      <c r="G89" s="1"/>
    </row>
    <row r="90" spans="1:7" ht="16.5" customHeight="1">
      <c r="A90" s="1"/>
      <c r="B90" s="1"/>
      <c r="C90" s="1"/>
      <c r="D90" s="1"/>
      <c r="E90" s="1"/>
      <c r="F90" s="1"/>
      <c r="G90" s="1"/>
    </row>
    <row r="91" spans="1:7" ht="16.5" customHeight="1">
      <c r="A91" s="1"/>
      <c r="B91" s="1"/>
      <c r="C91" s="1"/>
      <c r="D91" s="1"/>
      <c r="E91" s="1"/>
      <c r="F91" s="1"/>
      <c r="G91" s="1"/>
    </row>
    <row r="92" spans="1:7" ht="16.5" customHeight="1">
      <c r="A92" s="1"/>
      <c r="B92" s="1"/>
      <c r="C92" s="1"/>
      <c r="D92" s="1"/>
      <c r="E92" s="1"/>
      <c r="F92" s="1"/>
      <c r="G92" s="1"/>
    </row>
    <row r="93" spans="1:7" ht="16.5" customHeight="1">
      <c r="A93" s="1"/>
      <c r="B93" s="1"/>
      <c r="C93" s="1"/>
      <c r="D93" s="1"/>
      <c r="E93" s="1"/>
      <c r="F93" s="1"/>
      <c r="G93" s="1"/>
    </row>
    <row r="94" spans="1:7" ht="16.5" customHeight="1">
      <c r="A94" s="1"/>
      <c r="B94" s="1"/>
      <c r="C94" s="1"/>
      <c r="D94" s="1"/>
      <c r="E94" s="1"/>
      <c r="F94" s="1"/>
      <c r="G94" s="1"/>
    </row>
    <row r="95" spans="1:7" ht="16.5" customHeight="1">
      <c r="A95" s="1"/>
      <c r="B95" s="1"/>
      <c r="C95" s="1"/>
      <c r="D95" s="1"/>
      <c r="E95" s="1"/>
      <c r="F95" s="1"/>
      <c r="G95" s="1"/>
    </row>
    <row r="96" spans="1:7" ht="16.5" customHeight="1">
      <c r="A96" s="1"/>
      <c r="B96" s="1"/>
      <c r="C96" s="1"/>
      <c r="D96" s="1"/>
      <c r="E96" s="1"/>
      <c r="F96" s="1"/>
      <c r="G96" s="1"/>
    </row>
    <row r="97" spans="1:7" ht="16.5" customHeight="1">
      <c r="A97" s="1"/>
      <c r="B97" s="1"/>
      <c r="C97" s="1"/>
      <c r="D97" s="1"/>
      <c r="E97" s="1"/>
      <c r="F97" s="1"/>
      <c r="G97" s="1"/>
    </row>
    <row r="98" spans="1:7" ht="16.5" customHeight="1">
      <c r="A98" s="1"/>
      <c r="B98" s="1"/>
      <c r="C98" s="1"/>
      <c r="D98" s="1"/>
      <c r="E98" s="1"/>
      <c r="F98" s="1"/>
      <c r="G98" s="1"/>
    </row>
    <row r="99" spans="1:7" ht="16.5" customHeight="1">
      <c r="A99" s="1"/>
      <c r="B99" s="1"/>
      <c r="C99" s="1"/>
      <c r="D99" s="1"/>
      <c r="E99" s="1"/>
      <c r="F99" s="1"/>
      <c r="G99" s="1"/>
    </row>
    <row r="100" spans="1:7" ht="16.5" customHeight="1">
      <c r="A100" s="1"/>
      <c r="B100" s="1"/>
      <c r="C100" s="1"/>
      <c r="D100" s="1"/>
      <c r="E100" s="1"/>
      <c r="F100" s="1"/>
      <c r="G100" s="1"/>
    </row>
  </sheetData>
  <mergeCells count="1">
    <mergeCell ref="A1:F1"/>
  </mergeCells>
  <phoneticPr fontId="58" type="noConversion"/>
  <dataValidations count="1">
    <dataValidation type="list" allowBlank="1" showErrorMessage="1" sqref="G4">
      <formula1>"4,10,12,21"</formula1>
    </dataValidation>
  </dataValidations>
  <pageMargins left="0.69999998807907104" right="0.69999998807907104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R100"/>
  <sheetViews>
    <sheetView workbookViewId="0"/>
  </sheetViews>
  <sheetFormatPr defaultColWidth="14.375" defaultRowHeight="15" customHeight="1"/>
  <cols>
    <col min="1" max="1" width="5.75" customWidth="1"/>
    <col min="2" max="3" width="4.625" customWidth="1"/>
    <col min="4" max="4" width="5.875" customWidth="1"/>
    <col min="5" max="6" width="4.625" customWidth="1"/>
    <col min="7" max="7" width="7.125" customWidth="1"/>
    <col min="8" max="8" width="3.25" customWidth="1"/>
    <col min="9" max="9" width="6.25" customWidth="1"/>
    <col min="10" max="10" width="5.25" customWidth="1"/>
    <col min="11" max="11" width="6.25" customWidth="1"/>
    <col min="12" max="12" width="5.125" customWidth="1"/>
    <col min="13" max="13" width="6.375" customWidth="1"/>
    <col min="14" max="14" width="5.125" customWidth="1"/>
    <col min="15" max="15" width="4" customWidth="1"/>
    <col min="16" max="16" width="8.875" customWidth="1"/>
    <col min="17" max="17" width="3.875" customWidth="1"/>
    <col min="18" max="18" width="5.875" customWidth="1"/>
    <col min="19" max="19" width="3.875" customWidth="1"/>
    <col min="20" max="20" width="6.25" customWidth="1"/>
    <col min="21" max="22" width="4" customWidth="1"/>
    <col min="23" max="23" width="4.375" customWidth="1"/>
    <col min="24" max="24" width="3.625" customWidth="1"/>
    <col min="25" max="25" width="7.75" customWidth="1"/>
    <col min="26" max="30" width="8.75" customWidth="1"/>
    <col min="31" max="38" width="20.625" customWidth="1"/>
    <col min="39" max="44" width="8.75" customWidth="1"/>
  </cols>
  <sheetData>
    <row r="1" spans="1:44" ht="16.5" customHeight="1">
      <c r="A1" s="641" t="s">
        <v>217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8"/>
      <c r="S1" s="644" t="s">
        <v>218</v>
      </c>
      <c r="T1" s="642" t="s">
        <v>219</v>
      </c>
      <c r="U1" s="529"/>
      <c r="V1" s="542"/>
      <c r="W1" s="642" t="s">
        <v>179</v>
      </c>
      <c r="X1" s="529"/>
      <c r="Y1" s="549"/>
      <c r="AE1" s="97" t="s">
        <v>220</v>
      </c>
      <c r="AF1" s="98"/>
      <c r="AG1" s="98"/>
      <c r="AH1" s="98"/>
      <c r="AI1" s="98"/>
      <c r="AJ1" s="98"/>
      <c r="AK1" s="98"/>
      <c r="AL1" s="98"/>
    </row>
    <row r="2" spans="1:44" ht="36.75" customHeight="1">
      <c r="A2" s="479"/>
      <c r="B2" s="424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514"/>
      <c r="T2" s="643"/>
      <c r="U2" s="424"/>
      <c r="V2" s="480"/>
      <c r="W2" s="643"/>
      <c r="X2" s="424"/>
      <c r="Y2" s="604"/>
      <c r="AE2" s="98"/>
      <c r="AF2" s="98"/>
      <c r="AG2" s="98"/>
      <c r="AH2" s="98"/>
      <c r="AI2" s="98"/>
      <c r="AJ2" s="98"/>
      <c r="AK2" s="98"/>
      <c r="AL2" s="98"/>
    </row>
    <row r="3" spans="1:44" ht="24.75" customHeight="1">
      <c r="A3" s="99" t="s">
        <v>221</v>
      </c>
      <c r="B3" s="100"/>
      <c r="C3" s="100"/>
      <c r="D3" s="100"/>
      <c r="E3" s="100"/>
      <c r="F3" s="100"/>
      <c r="G3" s="100"/>
      <c r="H3" s="100"/>
      <c r="I3" s="101"/>
      <c r="J3" s="101"/>
      <c r="K3" s="101"/>
      <c r="L3" s="101"/>
      <c r="M3" s="102" t="s">
        <v>222</v>
      </c>
      <c r="N3" s="101"/>
      <c r="O3" s="100"/>
      <c r="P3" s="100"/>
      <c r="Q3" s="100"/>
      <c r="R3" s="100"/>
      <c r="S3" s="559"/>
      <c r="T3" s="559"/>
      <c r="U3" s="500"/>
      <c r="V3" s="453"/>
      <c r="W3" s="559"/>
      <c r="X3" s="500"/>
      <c r="Y3" s="605"/>
      <c r="Z3" s="29"/>
      <c r="AA3" s="29"/>
      <c r="AB3" s="29"/>
      <c r="AC3" s="29"/>
      <c r="AD3" s="29"/>
      <c r="AE3" s="98"/>
      <c r="AF3" s="608" t="s">
        <v>223</v>
      </c>
      <c r="AG3" s="424"/>
      <c r="AH3" s="424"/>
      <c r="AI3" s="609" t="s">
        <v>224</v>
      </c>
      <c r="AJ3" s="500"/>
      <c r="AK3" s="607" t="s">
        <v>225</v>
      </c>
      <c r="AL3" s="424"/>
    </row>
    <row r="4" spans="1:44" ht="30.75" customHeight="1">
      <c r="A4" s="104" t="s">
        <v>226</v>
      </c>
      <c r="B4" s="105"/>
      <c r="C4" s="105"/>
      <c r="D4" s="105" t="s">
        <v>227</v>
      </c>
      <c r="E4" s="105"/>
      <c r="F4" s="105"/>
      <c r="G4" s="105"/>
      <c r="H4" s="105"/>
      <c r="I4" s="574"/>
      <c r="J4" s="575"/>
      <c r="K4" s="576"/>
      <c r="L4" s="574"/>
      <c r="M4" s="575"/>
      <c r="N4" s="576"/>
      <c r="O4" s="106" t="s">
        <v>228</v>
      </c>
      <c r="P4" s="105"/>
      <c r="Q4" s="105"/>
      <c r="R4" s="105"/>
      <c r="S4" s="585">
        <v>0.83</v>
      </c>
      <c r="T4" s="511"/>
      <c r="U4" s="106"/>
      <c r="V4" s="105"/>
      <c r="W4" s="105"/>
      <c r="X4" s="105"/>
      <c r="Y4" s="107"/>
      <c r="Z4" s="29"/>
      <c r="AA4" s="29"/>
      <c r="AB4" s="29"/>
      <c r="AC4" s="29"/>
      <c r="AD4" s="29"/>
      <c r="AE4" s="98"/>
      <c r="AF4" s="424"/>
      <c r="AG4" s="424"/>
      <c r="AH4" s="424"/>
      <c r="AI4" s="610" t="s">
        <v>229</v>
      </c>
      <c r="AJ4" s="477"/>
      <c r="AK4" s="424"/>
      <c r="AL4" s="424"/>
      <c r="AM4" s="29"/>
      <c r="AN4" s="29"/>
      <c r="AO4" s="29"/>
      <c r="AP4" s="29"/>
      <c r="AQ4" s="29"/>
      <c r="AR4" s="29"/>
    </row>
    <row r="5" spans="1:44" ht="30.75" customHeight="1">
      <c r="A5" s="108" t="s">
        <v>230</v>
      </c>
      <c r="B5" s="109"/>
      <c r="C5" s="109"/>
      <c r="D5" s="109"/>
      <c r="E5" s="109" t="s">
        <v>231</v>
      </c>
      <c r="F5" s="109"/>
      <c r="G5" s="109"/>
      <c r="H5" s="109"/>
      <c r="I5" s="577"/>
      <c r="J5" s="424"/>
      <c r="K5" s="578"/>
      <c r="L5" s="577"/>
      <c r="M5" s="424"/>
      <c r="N5" s="578"/>
      <c r="O5" s="110" t="s">
        <v>232</v>
      </c>
      <c r="P5" s="109"/>
      <c r="Q5" s="109"/>
      <c r="R5" s="109"/>
      <c r="S5" s="586">
        <v>23</v>
      </c>
      <c r="T5" s="511"/>
      <c r="U5" s="110"/>
      <c r="V5" s="109"/>
      <c r="W5" s="109"/>
      <c r="X5" s="109"/>
      <c r="Y5" s="111"/>
      <c r="Z5" s="29"/>
      <c r="AA5" s="29"/>
      <c r="AB5" s="29"/>
      <c r="AC5" s="29"/>
      <c r="AD5" s="29"/>
      <c r="AE5" s="98" t="s">
        <v>102</v>
      </c>
      <c r="AF5" s="103"/>
      <c r="AG5" s="103"/>
      <c r="AH5" s="103">
        <f>100-E10-D11</f>
        <v>79.099999999999994</v>
      </c>
      <c r="AI5" s="112"/>
      <c r="AJ5" s="112"/>
      <c r="AK5" s="56"/>
      <c r="AL5" s="56"/>
      <c r="AM5" s="29"/>
      <c r="AN5" s="29"/>
      <c r="AO5" s="29"/>
      <c r="AP5" s="29"/>
      <c r="AQ5" s="29"/>
      <c r="AR5" s="29"/>
    </row>
    <row r="6" spans="1:44" ht="30.75" customHeight="1">
      <c r="A6" s="108" t="s">
        <v>233</v>
      </c>
      <c r="B6" s="109"/>
      <c r="C6" s="109"/>
      <c r="D6" s="109" t="s">
        <v>234</v>
      </c>
      <c r="E6" s="109"/>
      <c r="F6" s="109"/>
      <c r="G6" s="109"/>
      <c r="H6" s="109"/>
      <c r="I6" s="579"/>
      <c r="J6" s="580"/>
      <c r="K6" s="581"/>
      <c r="L6" s="579"/>
      <c r="M6" s="580"/>
      <c r="N6" s="581"/>
      <c r="O6" s="110" t="s">
        <v>235</v>
      </c>
      <c r="P6" s="109"/>
      <c r="Q6" s="109"/>
      <c r="R6" s="109"/>
      <c r="S6" s="586">
        <v>760</v>
      </c>
      <c r="T6" s="511"/>
      <c r="U6" s="110"/>
      <c r="V6" s="109"/>
      <c r="W6" s="109"/>
      <c r="X6" s="109"/>
      <c r="Y6" s="111"/>
      <c r="Z6" s="113" t="s">
        <v>236</v>
      </c>
      <c r="AA6" s="114">
        <v>0.70699999999999996</v>
      </c>
      <c r="AB6" s="114"/>
      <c r="AC6" s="29"/>
      <c r="AD6" s="29"/>
      <c r="AE6" s="98" t="s">
        <v>103</v>
      </c>
      <c r="AF6" s="98"/>
      <c r="AG6" s="98"/>
      <c r="AH6" s="115">
        <f>S4</f>
        <v>0.83</v>
      </c>
      <c r="AI6" s="98"/>
      <c r="AJ6" s="98"/>
      <c r="AK6" s="98"/>
      <c r="AL6" s="98"/>
      <c r="AM6" s="29"/>
      <c r="AN6" s="29"/>
      <c r="AO6" s="29"/>
      <c r="AP6" s="29"/>
      <c r="AQ6" s="29"/>
      <c r="AR6" s="29"/>
    </row>
    <row r="7" spans="1:44" ht="30.75" customHeight="1">
      <c r="A7" s="108" t="s">
        <v>237</v>
      </c>
      <c r="B7" s="109"/>
      <c r="C7" s="622">
        <f>ROUND(8.03989/100000*(S4)^2*F9*((E24+273.15)*AH12*AH9)/((C24+273.15)*V7*AH10)*(1-E13/100)^2*(E8*10)^4,3)</f>
        <v>26.332999999999998</v>
      </c>
      <c r="D7" s="511"/>
      <c r="E7" s="109"/>
      <c r="F7" s="109"/>
      <c r="G7" s="109"/>
      <c r="H7" s="109"/>
      <c r="I7" s="574"/>
      <c r="J7" s="575"/>
      <c r="K7" s="576"/>
      <c r="L7" s="574"/>
      <c r="M7" s="575"/>
      <c r="N7" s="576"/>
      <c r="O7" s="110" t="s">
        <v>238</v>
      </c>
      <c r="P7" s="109"/>
      <c r="Q7" s="109"/>
      <c r="R7" s="109"/>
      <c r="S7" s="109"/>
      <c r="T7" s="109"/>
      <c r="U7" s="109"/>
      <c r="V7" s="611">
        <f>S6</f>
        <v>760</v>
      </c>
      <c r="W7" s="511"/>
      <c r="X7" s="511"/>
      <c r="Y7" s="111"/>
      <c r="Z7" s="113" t="s">
        <v>239</v>
      </c>
      <c r="AA7" s="114">
        <v>0.5</v>
      </c>
      <c r="AB7" s="114">
        <v>0.86599999999999999</v>
      </c>
      <c r="AC7" s="29"/>
      <c r="AD7" s="29"/>
      <c r="AE7" s="98" t="s">
        <v>105</v>
      </c>
      <c r="AF7" s="98"/>
      <c r="AG7" s="98"/>
      <c r="AH7" s="98">
        <f>F9</f>
        <v>42.4</v>
      </c>
      <c r="AI7" s="98"/>
      <c r="AJ7" s="98"/>
      <c r="AK7" s="98"/>
      <c r="AL7" s="98"/>
      <c r="AM7" s="29"/>
      <c r="AN7" s="29"/>
      <c r="AO7" s="29"/>
      <c r="AP7" s="29"/>
      <c r="AQ7" s="29"/>
      <c r="AR7" s="29"/>
    </row>
    <row r="8" spans="1:44" ht="30.75" customHeight="1">
      <c r="A8" s="108" t="s">
        <v>240</v>
      </c>
      <c r="B8" s="109"/>
      <c r="C8" s="109"/>
      <c r="D8" s="109"/>
      <c r="E8" s="623">
        <v>1.083</v>
      </c>
      <c r="F8" s="511"/>
      <c r="G8" s="109"/>
      <c r="H8" s="109"/>
      <c r="I8" s="577"/>
      <c r="J8" s="424"/>
      <c r="K8" s="578"/>
      <c r="L8" s="577"/>
      <c r="M8" s="424"/>
      <c r="N8" s="578"/>
      <c r="O8" s="110" t="s">
        <v>241</v>
      </c>
      <c r="P8" s="109"/>
      <c r="Q8" s="109"/>
      <c r="R8" s="109"/>
      <c r="S8" s="109"/>
      <c r="T8" s="116">
        <v>1.25</v>
      </c>
      <c r="U8" s="109"/>
      <c r="V8" s="117" t="s">
        <v>242</v>
      </c>
      <c r="W8" s="109"/>
      <c r="X8" s="109"/>
      <c r="Y8" s="118" t="s">
        <v>214</v>
      </c>
      <c r="Z8" s="29"/>
      <c r="AA8" s="29"/>
      <c r="AB8" s="29"/>
      <c r="AC8" s="29"/>
      <c r="AD8" s="29"/>
      <c r="AE8" s="98" t="s">
        <v>107</v>
      </c>
      <c r="AF8" s="98"/>
      <c r="AG8" s="98"/>
      <c r="AH8" s="98"/>
      <c r="AI8" s="98"/>
      <c r="AJ8" s="98"/>
      <c r="AK8" s="98"/>
      <c r="AL8" s="98"/>
      <c r="AM8" s="29"/>
      <c r="AN8" s="29"/>
      <c r="AO8" s="29"/>
      <c r="AP8" s="29"/>
      <c r="AQ8" s="29"/>
      <c r="AR8" s="29"/>
    </row>
    <row r="9" spans="1:44" ht="30.75" customHeight="1">
      <c r="A9" s="108" t="s">
        <v>243</v>
      </c>
      <c r="B9" s="109"/>
      <c r="C9" s="109"/>
      <c r="D9" s="109"/>
      <c r="E9" s="109"/>
      <c r="F9" s="624">
        <v>42.4</v>
      </c>
      <c r="G9" s="511"/>
      <c r="H9" s="109"/>
      <c r="I9" s="579"/>
      <c r="J9" s="580"/>
      <c r="K9" s="581"/>
      <c r="L9" s="579"/>
      <c r="M9" s="580"/>
      <c r="N9" s="581"/>
      <c r="O9" s="582" t="s">
        <v>244</v>
      </c>
      <c r="P9" s="511"/>
      <c r="Q9" s="511"/>
      <c r="R9" s="511"/>
      <c r="S9" s="511"/>
      <c r="T9" s="583">
        <v>1</v>
      </c>
      <c r="U9" s="512"/>
      <c r="V9" s="117" t="s">
        <v>245</v>
      </c>
      <c r="W9" s="109"/>
      <c r="X9" s="109"/>
      <c r="Y9" s="118">
        <v>70</v>
      </c>
      <c r="Z9" s="29"/>
      <c r="AA9" s="29"/>
      <c r="AB9" s="29"/>
      <c r="AC9" s="29"/>
      <c r="AD9" s="29"/>
      <c r="AE9" s="98" t="s">
        <v>108</v>
      </c>
      <c r="AF9" s="98"/>
      <c r="AG9" s="98"/>
      <c r="AH9" s="119">
        <f>(0.32*E10)+(0.44*D11)+(0.28*AH5)</f>
        <v>28.835999999999999</v>
      </c>
      <c r="AI9" s="98"/>
      <c r="AJ9" s="98"/>
      <c r="AK9" s="98"/>
      <c r="AL9" s="98"/>
      <c r="AM9" s="29"/>
      <c r="AN9" s="29"/>
      <c r="AO9" s="29"/>
      <c r="AP9" s="29"/>
      <c r="AQ9" s="29"/>
      <c r="AR9" s="29"/>
    </row>
    <row r="10" spans="1:44" ht="27" customHeight="1">
      <c r="A10" s="108" t="s">
        <v>246</v>
      </c>
      <c r="B10" s="109"/>
      <c r="C10" s="109"/>
      <c r="D10" s="109"/>
      <c r="E10" s="586">
        <v>20.9</v>
      </c>
      <c r="F10" s="511"/>
      <c r="G10" s="109"/>
      <c r="H10" s="120"/>
      <c r="I10" s="121" t="s">
        <v>247</v>
      </c>
      <c r="J10" s="105"/>
      <c r="K10" s="596">
        <f>CHOOSE(AA14,ROUND(측정점!I6,3)*100,ROUND(측정점!I8,3)*100,ROUND(측정점!I10,3)*100,ROUND(측정점!I12,3)*100,ROUND(측정점!I14,3)*100)</f>
        <v>31.3</v>
      </c>
      <c r="L10" s="597"/>
      <c r="M10" s="597"/>
      <c r="N10" s="122" t="s">
        <v>248</v>
      </c>
      <c r="O10" s="593" t="s">
        <v>249</v>
      </c>
      <c r="P10" s="511"/>
      <c r="Q10" s="511"/>
      <c r="R10" s="511"/>
      <c r="S10" s="511"/>
      <c r="T10" s="511"/>
      <c r="U10" s="512"/>
      <c r="V10" s="117" t="s">
        <v>250</v>
      </c>
      <c r="W10" s="109"/>
      <c r="X10" s="109"/>
      <c r="Y10" s="118">
        <v>4</v>
      </c>
      <c r="Z10" s="29"/>
      <c r="AA10" s="29"/>
      <c r="AB10" s="29"/>
      <c r="AC10" s="29"/>
      <c r="AD10" s="29"/>
      <c r="AE10" s="98" t="s">
        <v>216</v>
      </c>
      <c r="AF10" s="98"/>
      <c r="AG10" s="98"/>
      <c r="AH10" s="123">
        <f>AH9*(1-E13/100)+E13/100*18</f>
        <v>28.7222587581197</v>
      </c>
      <c r="AI10" s="98"/>
      <c r="AJ10" s="98"/>
      <c r="AK10" s="98"/>
      <c r="AL10" s="98"/>
      <c r="AM10" s="29"/>
      <c r="AN10" s="29"/>
      <c r="AO10" s="29"/>
      <c r="AP10" s="29"/>
      <c r="AQ10" s="29"/>
      <c r="AR10" s="29"/>
    </row>
    <row r="11" spans="1:44" ht="27" customHeight="1">
      <c r="A11" s="108" t="s">
        <v>251</v>
      </c>
      <c r="B11" s="109"/>
      <c r="C11" s="109"/>
      <c r="D11" s="586">
        <v>0</v>
      </c>
      <c r="E11" s="511"/>
      <c r="F11" s="109"/>
      <c r="G11" s="109"/>
      <c r="H11" s="120"/>
      <c r="I11" s="124" t="s">
        <v>252</v>
      </c>
      <c r="J11" s="109"/>
      <c r="K11" s="598">
        <f>CHOOSE(AA14,"",ROUND(측정점!L8,3)*100,ROUND(측정점!L10,3)*100,ROUND(측정점!L12,3)*100,ROUND(측정점!L14,3)*100)</f>
        <v>8.4</v>
      </c>
      <c r="L11" s="511"/>
      <c r="M11" s="511"/>
      <c r="N11" s="126" t="s">
        <v>248</v>
      </c>
      <c r="O11" s="594" t="s">
        <v>253</v>
      </c>
      <c r="P11" s="511"/>
      <c r="Q11" s="512"/>
      <c r="R11" s="595" t="s">
        <v>254</v>
      </c>
      <c r="S11" s="484"/>
      <c r="T11" s="484"/>
      <c r="U11" s="518"/>
      <c r="V11" s="127" t="s">
        <v>255</v>
      </c>
      <c r="W11" s="105"/>
      <c r="X11" s="105"/>
      <c r="Y11" s="128" t="s">
        <v>256</v>
      </c>
      <c r="Z11" s="29"/>
      <c r="AA11" s="29"/>
      <c r="AB11" s="29"/>
      <c r="AC11" s="29"/>
      <c r="AD11" s="29"/>
      <c r="AE11" s="98" t="s">
        <v>116</v>
      </c>
      <c r="AF11" s="98"/>
      <c r="AG11" s="98"/>
      <c r="AH11" s="98"/>
      <c r="AI11" s="98"/>
      <c r="AJ11" s="98"/>
      <c r="AK11" s="98"/>
      <c r="AL11" s="98"/>
      <c r="AM11" s="29"/>
      <c r="AN11" s="29"/>
      <c r="AO11" s="29"/>
      <c r="AP11" s="29"/>
      <c r="AQ11" s="29"/>
      <c r="AR11" s="29"/>
    </row>
    <row r="12" spans="1:44" ht="27" customHeight="1">
      <c r="A12" s="129" t="s">
        <v>257</v>
      </c>
      <c r="B12" s="130"/>
      <c r="C12" s="130"/>
      <c r="D12" s="130"/>
      <c r="E12" s="130"/>
      <c r="F12" s="647">
        <f>계산식!R34</f>
        <v>98.187978413528313</v>
      </c>
      <c r="G12" s="511"/>
      <c r="H12" s="131"/>
      <c r="I12" s="124" t="s">
        <v>258</v>
      </c>
      <c r="J12" s="109"/>
      <c r="K12" s="598" t="str">
        <f>CHOOSE(AA14,"","",ROUND(측정점!O10,3)*100,ROUND(측정점!O12,3)*100,ROUND(측정점!O14,3)*100)</f>
        <v/>
      </c>
      <c r="L12" s="511"/>
      <c r="M12" s="511"/>
      <c r="N12" s="126" t="s">
        <v>248</v>
      </c>
      <c r="O12" s="594" t="s">
        <v>259</v>
      </c>
      <c r="P12" s="511"/>
      <c r="Q12" s="512"/>
      <c r="R12" s="624" t="s">
        <v>260</v>
      </c>
      <c r="S12" s="511"/>
      <c r="T12" s="511"/>
      <c r="U12" s="512"/>
      <c r="V12" s="593" t="s">
        <v>261</v>
      </c>
      <c r="W12" s="511"/>
      <c r="X12" s="511"/>
      <c r="Y12" s="526"/>
      <c r="Z12" s="29"/>
      <c r="AA12" s="29"/>
      <c r="AB12" s="29"/>
      <c r="AC12" s="29"/>
      <c r="AD12" s="29"/>
      <c r="AE12" s="98" t="s">
        <v>117</v>
      </c>
      <c r="AF12" s="98"/>
      <c r="AG12" s="98"/>
      <c r="AH12" s="132">
        <f>ROUND((S6+(I24/13.6)),2)</f>
        <v>760.08</v>
      </c>
      <c r="AI12" s="133"/>
      <c r="AJ12" s="134"/>
      <c r="AK12" s="491"/>
      <c r="AL12" s="424"/>
      <c r="AM12" s="424"/>
      <c r="AN12" s="424"/>
      <c r="AO12" s="424"/>
      <c r="AP12" s="424"/>
      <c r="AQ12" s="424"/>
      <c r="AR12" s="604"/>
    </row>
    <row r="13" spans="1:44" ht="27" customHeight="1">
      <c r="A13" s="108" t="s">
        <v>262</v>
      </c>
      <c r="B13" s="109"/>
      <c r="C13" s="109"/>
      <c r="D13" s="109"/>
      <c r="E13" s="646">
        <f>계산식!R1</f>
        <v>1.0496607777805389</v>
      </c>
      <c r="F13" s="511"/>
      <c r="G13" s="109"/>
      <c r="H13" s="109"/>
      <c r="I13" s="124" t="s">
        <v>263</v>
      </c>
      <c r="J13" s="109"/>
      <c r="K13" s="598" t="str">
        <f>CHOOSE(AA14,"","","",ROUND(측정점!R12,3)*100,ROUND(측정점!R14,3)*100)</f>
        <v/>
      </c>
      <c r="L13" s="511"/>
      <c r="M13" s="511"/>
      <c r="N13" s="126" t="s">
        <v>248</v>
      </c>
      <c r="O13" s="124" t="s">
        <v>264</v>
      </c>
      <c r="P13" s="109"/>
      <c r="Q13" s="109"/>
      <c r="R13" s="598" t="s">
        <v>265</v>
      </c>
      <c r="S13" s="511"/>
      <c r="T13" s="511"/>
      <c r="U13" s="512"/>
      <c r="V13" s="117" t="s">
        <v>194</v>
      </c>
      <c r="W13" s="109"/>
      <c r="X13" s="125"/>
      <c r="Y13" s="118">
        <v>2569</v>
      </c>
      <c r="Z13" s="1"/>
      <c r="AA13" s="1"/>
      <c r="AB13" s="1"/>
      <c r="AC13" s="1"/>
      <c r="AD13" s="1"/>
      <c r="AE13" s="98" t="s">
        <v>266</v>
      </c>
      <c r="AF13" s="98"/>
      <c r="AG13" s="98"/>
      <c r="AH13" s="98"/>
      <c r="AI13" s="98"/>
      <c r="AJ13" s="98"/>
      <c r="AK13" s="98"/>
      <c r="AL13" s="98"/>
      <c r="AM13" s="29"/>
      <c r="AN13" s="29"/>
      <c r="AO13" s="29"/>
      <c r="AP13" s="29"/>
      <c r="AQ13" s="29"/>
      <c r="AR13" s="29"/>
    </row>
    <row r="14" spans="1:44" ht="27" customHeight="1">
      <c r="A14" s="640" t="s">
        <v>267</v>
      </c>
      <c r="B14" s="523"/>
      <c r="C14" s="523"/>
      <c r="D14" s="135"/>
      <c r="E14" s="136"/>
      <c r="F14" s="136"/>
      <c r="G14" s="102"/>
      <c r="H14" s="102"/>
      <c r="I14" s="121" t="s">
        <v>268</v>
      </c>
      <c r="J14" s="105"/>
      <c r="K14" s="587" t="str">
        <f>CHOOSE(AA14,"","","","",ROUND(측정점!U14,3)*100)</f>
        <v/>
      </c>
      <c r="L14" s="523"/>
      <c r="M14" s="523"/>
      <c r="N14" s="137" t="s">
        <v>248</v>
      </c>
      <c r="O14" s="121" t="s">
        <v>269</v>
      </c>
      <c r="P14" s="105"/>
      <c r="Q14" s="105"/>
      <c r="R14" s="105"/>
      <c r="S14" s="105"/>
      <c r="T14" s="105"/>
      <c r="U14" s="138"/>
      <c r="V14" s="127" t="s">
        <v>195</v>
      </c>
      <c r="W14" s="105"/>
      <c r="X14" s="139"/>
      <c r="Y14" s="140">
        <f>Y13+O23</f>
        <v>2978</v>
      </c>
      <c r="Z14" s="1" t="s">
        <v>118</v>
      </c>
      <c r="AA14" s="1">
        <f>IF(T8&lt;=1,1,IF(AND(T8&gt;1,T8&lt;=2),2,IF(AND(T8&gt;2,T8&lt;=4),3,IF(AND(T8&gt;4,T8&lt;=4.5),4,5))))</f>
        <v>2</v>
      </c>
      <c r="AB14" s="1"/>
      <c r="AC14" s="1"/>
      <c r="AD14" s="1"/>
      <c r="AE14" s="98" t="s">
        <v>270</v>
      </c>
      <c r="AF14" s="98"/>
      <c r="AG14" s="98"/>
      <c r="AH14" s="98"/>
      <c r="AI14" s="98"/>
      <c r="AJ14" s="98"/>
      <c r="AK14" s="98"/>
      <c r="AL14" s="98"/>
      <c r="AM14" s="29"/>
      <c r="AN14" s="29"/>
      <c r="AO14" s="29"/>
      <c r="AP14" s="29"/>
      <c r="AQ14" s="29"/>
      <c r="AR14" s="29"/>
    </row>
    <row r="15" spans="1:44" ht="27.75" customHeight="1">
      <c r="A15" s="645" t="s">
        <v>271</v>
      </c>
      <c r="B15" s="529"/>
      <c r="C15" s="529"/>
      <c r="D15" s="529"/>
      <c r="E15" s="529"/>
      <c r="F15" s="529"/>
      <c r="G15" s="529"/>
      <c r="H15" s="529"/>
      <c r="I15" s="529"/>
      <c r="J15" s="529"/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49"/>
      <c r="Z15" s="1" t="s">
        <v>272</v>
      </c>
      <c r="AA15" s="1"/>
      <c r="AB15" s="1"/>
      <c r="AC15" s="1"/>
      <c r="AD15" s="1"/>
      <c r="AE15" s="607" t="s">
        <v>273</v>
      </c>
      <c r="AF15" s="424"/>
      <c r="AG15" s="98"/>
      <c r="AH15" s="98"/>
      <c r="AI15" s="98"/>
      <c r="AJ15" s="98"/>
      <c r="AK15" s="98"/>
      <c r="AL15" s="98"/>
      <c r="AM15" s="1"/>
      <c r="AN15" s="1"/>
      <c r="AO15" s="1"/>
      <c r="AP15" s="1"/>
      <c r="AQ15" s="1"/>
      <c r="AR15" s="1"/>
    </row>
    <row r="16" spans="1:44" ht="35.25" customHeight="1">
      <c r="A16" s="638" t="s">
        <v>274</v>
      </c>
      <c r="B16" s="480"/>
      <c r="C16" s="615" t="s">
        <v>275</v>
      </c>
      <c r="D16" s="480"/>
      <c r="E16" s="625" t="s">
        <v>276</v>
      </c>
      <c r="F16" s="500"/>
      <c r="G16" s="500"/>
      <c r="H16" s="453"/>
      <c r="I16" s="615" t="s">
        <v>277</v>
      </c>
      <c r="J16" s="480"/>
      <c r="K16" s="615" t="s">
        <v>278</v>
      </c>
      <c r="L16" s="480"/>
      <c r="M16" s="617" t="s">
        <v>279</v>
      </c>
      <c r="N16" s="480"/>
      <c r="O16" s="615" t="s">
        <v>280</v>
      </c>
      <c r="P16" s="480"/>
      <c r="Q16" s="615" t="s">
        <v>281</v>
      </c>
      <c r="R16" s="480"/>
      <c r="S16" s="615" t="s">
        <v>282</v>
      </c>
      <c r="T16" s="480"/>
      <c r="U16" s="602" t="s">
        <v>283</v>
      </c>
      <c r="V16" s="477"/>
      <c r="W16" s="478"/>
      <c r="X16" s="603"/>
      <c r="Y16" s="604"/>
      <c r="Z16" s="606" t="s">
        <v>284</v>
      </c>
      <c r="AA16" s="424"/>
      <c r="AB16" s="424"/>
      <c r="AC16" s="1"/>
      <c r="AD16" s="1"/>
      <c r="AE16" s="424"/>
      <c r="AF16" s="424"/>
      <c r="AG16" s="98"/>
      <c r="AH16" s="98"/>
      <c r="AI16" s="98"/>
      <c r="AJ16" s="98"/>
      <c r="AK16" s="98"/>
      <c r="AL16" s="98"/>
      <c r="AM16" s="1"/>
      <c r="AN16" s="1"/>
      <c r="AO16" s="1"/>
      <c r="AP16" s="1"/>
      <c r="AQ16" s="1"/>
      <c r="AR16" s="1"/>
    </row>
    <row r="17" spans="1:44" ht="19.5" customHeight="1">
      <c r="A17" s="639"/>
      <c r="B17" s="453"/>
      <c r="C17" s="559"/>
      <c r="D17" s="453"/>
      <c r="E17" s="591" t="s">
        <v>96</v>
      </c>
      <c r="F17" s="512"/>
      <c r="G17" s="591" t="s">
        <v>97</v>
      </c>
      <c r="H17" s="512"/>
      <c r="I17" s="559"/>
      <c r="J17" s="453"/>
      <c r="K17" s="559"/>
      <c r="L17" s="453"/>
      <c r="M17" s="559"/>
      <c r="N17" s="453"/>
      <c r="O17" s="559"/>
      <c r="P17" s="453"/>
      <c r="Q17" s="559"/>
      <c r="R17" s="453"/>
      <c r="S17" s="559"/>
      <c r="T17" s="453"/>
      <c r="U17" s="559"/>
      <c r="V17" s="500"/>
      <c r="W17" s="453"/>
      <c r="X17" s="559"/>
      <c r="Y17" s="605"/>
      <c r="Z17" s="479"/>
      <c r="AA17" s="424"/>
      <c r="AB17" s="424"/>
      <c r="AC17" s="1"/>
      <c r="AD17" s="1"/>
      <c r="AE17" s="98" t="s">
        <v>285</v>
      </c>
      <c r="AF17" s="98"/>
      <c r="AG17" s="141"/>
      <c r="AH17" s="141"/>
      <c r="AI17" s="141"/>
      <c r="AJ17" s="141"/>
      <c r="AK17" s="141"/>
      <c r="AL17" s="141"/>
      <c r="AM17" s="1"/>
      <c r="AN17" s="1"/>
      <c r="AO17" s="1"/>
      <c r="AP17" s="1"/>
      <c r="AQ17" s="1"/>
      <c r="AR17" s="1"/>
    </row>
    <row r="18" spans="1:44" ht="22.5" customHeight="1">
      <c r="A18" s="634" t="s">
        <v>286</v>
      </c>
      <c r="B18" s="512"/>
      <c r="C18" s="589">
        <v>79</v>
      </c>
      <c r="D18" s="512"/>
      <c r="E18" s="589">
        <v>18</v>
      </c>
      <c r="F18" s="512"/>
      <c r="G18" s="589">
        <v>18</v>
      </c>
      <c r="H18" s="512"/>
      <c r="I18" s="589">
        <v>1</v>
      </c>
      <c r="J18" s="512"/>
      <c r="K18" s="589">
        <v>0.4</v>
      </c>
      <c r="L18" s="512"/>
      <c r="M18" s="590">
        <f>AE23*K18</f>
        <v>10.5036</v>
      </c>
      <c r="N18" s="512"/>
      <c r="O18" s="589">
        <v>203</v>
      </c>
      <c r="P18" s="512"/>
      <c r="Q18" s="589">
        <v>20</v>
      </c>
      <c r="R18" s="512"/>
      <c r="S18" s="589">
        <v>18</v>
      </c>
      <c r="T18" s="512"/>
      <c r="U18" s="588">
        <v>2.8</v>
      </c>
      <c r="V18" s="511"/>
      <c r="W18" s="512"/>
      <c r="X18" s="588"/>
      <c r="Y18" s="526"/>
      <c r="Z18" s="479"/>
      <c r="AA18" s="424"/>
      <c r="AB18" s="424"/>
      <c r="AC18" s="1"/>
      <c r="AD18" s="1"/>
      <c r="AE18" s="141"/>
      <c r="AF18" s="141"/>
      <c r="AG18" s="141"/>
      <c r="AH18" s="141"/>
      <c r="AI18" s="141"/>
      <c r="AJ18" s="141"/>
      <c r="AK18" s="141"/>
      <c r="AL18" s="141"/>
      <c r="AM18" s="1"/>
      <c r="AN18" s="1"/>
      <c r="AO18" s="1"/>
      <c r="AP18" s="1"/>
      <c r="AQ18" s="1"/>
      <c r="AR18" s="1"/>
    </row>
    <row r="19" spans="1:44" ht="22.5" customHeight="1">
      <c r="A19" s="634" t="s">
        <v>287</v>
      </c>
      <c r="B19" s="512"/>
      <c r="C19" s="591">
        <v>77</v>
      </c>
      <c r="D19" s="512"/>
      <c r="E19" s="591">
        <v>18</v>
      </c>
      <c r="F19" s="512"/>
      <c r="G19" s="591">
        <v>18</v>
      </c>
      <c r="H19" s="512"/>
      <c r="I19" s="591">
        <v>1.2</v>
      </c>
      <c r="J19" s="512"/>
      <c r="K19" s="591">
        <v>0.4</v>
      </c>
      <c r="L19" s="512"/>
      <c r="M19" s="592">
        <f>AF23*K19</f>
        <v>10.563600000000001</v>
      </c>
      <c r="N19" s="512"/>
      <c r="O19" s="591">
        <v>206</v>
      </c>
      <c r="P19" s="512"/>
      <c r="Q19" s="591">
        <v>20</v>
      </c>
      <c r="R19" s="512"/>
      <c r="S19" s="591">
        <v>18</v>
      </c>
      <c r="T19" s="512"/>
      <c r="U19" s="584">
        <v>2.8</v>
      </c>
      <c r="V19" s="511"/>
      <c r="W19" s="512"/>
      <c r="X19" s="584"/>
      <c r="Y19" s="526"/>
      <c r="Z19" s="479"/>
      <c r="AA19" s="424"/>
      <c r="AB19" s="424"/>
      <c r="AC19" s="1"/>
      <c r="AD19" s="1"/>
      <c r="AE19" s="142" t="s">
        <v>288</v>
      </c>
      <c r="AF19" s="142"/>
      <c r="AG19" s="142"/>
      <c r="AH19" s="141"/>
      <c r="AI19" s="141"/>
      <c r="AJ19" s="141"/>
      <c r="AK19" s="141"/>
      <c r="AL19" s="141"/>
      <c r="AM19" s="1"/>
      <c r="AN19" s="1"/>
      <c r="AO19" s="1"/>
      <c r="AP19" s="1"/>
      <c r="AQ19" s="1"/>
      <c r="AR19" s="1"/>
    </row>
    <row r="20" spans="1:44" ht="22.5" customHeight="1">
      <c r="A20" s="634" t="s">
        <v>289</v>
      </c>
      <c r="B20" s="512"/>
      <c r="C20" s="591"/>
      <c r="D20" s="512"/>
      <c r="E20" s="591"/>
      <c r="F20" s="512"/>
      <c r="G20" s="591"/>
      <c r="H20" s="512"/>
      <c r="I20" s="591"/>
      <c r="J20" s="512"/>
      <c r="K20" s="591"/>
      <c r="L20" s="512"/>
      <c r="M20" s="592">
        <f>AG23*K20</f>
        <v>0</v>
      </c>
      <c r="N20" s="512"/>
      <c r="O20" s="591"/>
      <c r="P20" s="512"/>
      <c r="Q20" s="591"/>
      <c r="R20" s="512"/>
      <c r="S20" s="591"/>
      <c r="T20" s="512"/>
      <c r="U20" s="584"/>
      <c r="V20" s="511"/>
      <c r="W20" s="512"/>
      <c r="X20" s="584"/>
      <c r="Y20" s="512"/>
      <c r="Z20" s="30">
        <v>3.5</v>
      </c>
      <c r="AA20" s="30">
        <f>(Z20*25.4)</f>
        <v>88.899999999999991</v>
      </c>
      <c r="AB20" s="1"/>
      <c r="AC20" s="1"/>
      <c r="AD20" s="1"/>
      <c r="AE20" s="142" t="s">
        <v>290</v>
      </c>
      <c r="AF20" s="142"/>
      <c r="AG20" s="142"/>
      <c r="AH20" s="141"/>
      <c r="AI20" s="141"/>
      <c r="AJ20" s="141"/>
      <c r="AK20" s="141"/>
      <c r="AL20" s="141"/>
      <c r="AM20" s="1"/>
      <c r="AN20" s="1"/>
      <c r="AO20" s="1"/>
      <c r="AP20" s="1"/>
      <c r="AQ20" s="1"/>
      <c r="AR20" s="1"/>
    </row>
    <row r="21" spans="1:44" ht="22.5" customHeight="1">
      <c r="A21" s="634" t="s">
        <v>291</v>
      </c>
      <c r="B21" s="512"/>
      <c r="C21" s="591"/>
      <c r="D21" s="512"/>
      <c r="E21" s="591"/>
      <c r="F21" s="512"/>
      <c r="G21" s="591"/>
      <c r="H21" s="512"/>
      <c r="I21" s="591"/>
      <c r="J21" s="512"/>
      <c r="K21" s="591"/>
      <c r="L21" s="512"/>
      <c r="M21" s="592">
        <f>AH23*K21</f>
        <v>0</v>
      </c>
      <c r="N21" s="512"/>
      <c r="O21" s="591"/>
      <c r="P21" s="512"/>
      <c r="Q21" s="591"/>
      <c r="R21" s="512"/>
      <c r="S21" s="591"/>
      <c r="T21" s="512"/>
      <c r="U21" s="584"/>
      <c r="V21" s="511"/>
      <c r="W21" s="512"/>
      <c r="X21" s="584"/>
      <c r="Y21" s="512"/>
      <c r="Z21" s="30" t="s">
        <v>292</v>
      </c>
      <c r="AA21" s="30" t="s">
        <v>50</v>
      </c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1:44" ht="22.5" customHeight="1">
      <c r="A22" s="634" t="s">
        <v>293</v>
      </c>
      <c r="B22" s="512"/>
      <c r="C22" s="591"/>
      <c r="D22" s="512"/>
      <c r="E22" s="591"/>
      <c r="F22" s="512"/>
      <c r="G22" s="591"/>
      <c r="H22" s="512"/>
      <c r="I22" s="591"/>
      <c r="J22" s="512"/>
      <c r="K22" s="591"/>
      <c r="L22" s="512"/>
      <c r="M22" s="592">
        <f>AI23*K22</f>
        <v>0</v>
      </c>
      <c r="N22" s="512"/>
      <c r="O22" s="591"/>
      <c r="P22" s="512"/>
      <c r="Q22" s="591"/>
      <c r="R22" s="512"/>
      <c r="S22" s="591"/>
      <c r="T22" s="512"/>
      <c r="U22" s="584"/>
      <c r="V22" s="511"/>
      <c r="W22" s="512"/>
      <c r="X22" s="584"/>
      <c r="Y22" s="526"/>
      <c r="Z22" s="1"/>
      <c r="AA22" s="1"/>
      <c r="AB22" s="1"/>
      <c r="AC22" s="9"/>
      <c r="AD22" s="143"/>
      <c r="AE22" s="144" t="s">
        <v>294</v>
      </c>
      <c r="AF22" s="145" t="s">
        <v>295</v>
      </c>
      <c r="AG22" s="145" t="s">
        <v>296</v>
      </c>
      <c r="AH22" s="145" t="s">
        <v>297</v>
      </c>
      <c r="AI22" s="145" t="s">
        <v>298</v>
      </c>
      <c r="AJ22" s="1"/>
      <c r="AK22" s="1"/>
      <c r="AL22" s="1"/>
      <c r="AM22" s="1"/>
      <c r="AN22" s="1"/>
      <c r="AO22" s="1"/>
      <c r="AP22" s="1"/>
      <c r="AQ22" s="1"/>
      <c r="AR22" s="1"/>
    </row>
    <row r="23" spans="1:44" ht="22.5" customHeight="1">
      <c r="A23" s="634" t="s">
        <v>104</v>
      </c>
      <c r="B23" s="512"/>
      <c r="C23" s="616"/>
      <c r="D23" s="512"/>
      <c r="E23" s="590">
        <f>AVERAGE(E18:F22)</f>
        <v>18</v>
      </c>
      <c r="F23" s="512"/>
      <c r="G23" s="590">
        <f>AVERAGE(G18:H22)</f>
        <v>18</v>
      </c>
      <c r="H23" s="512"/>
      <c r="I23" s="616"/>
      <c r="J23" s="512"/>
      <c r="K23" s="616"/>
      <c r="L23" s="512"/>
      <c r="M23" s="590"/>
      <c r="N23" s="512"/>
      <c r="O23" s="616">
        <f>SUM(O18:P22)</f>
        <v>409</v>
      </c>
      <c r="P23" s="512"/>
      <c r="Q23" s="616">
        <f>SUM(Q18:R22)</f>
        <v>40</v>
      </c>
      <c r="R23" s="512"/>
      <c r="S23" s="616"/>
      <c r="T23" s="512"/>
      <c r="U23" s="601"/>
      <c r="V23" s="511"/>
      <c r="W23" s="512"/>
      <c r="X23" s="584"/>
      <c r="Y23" s="526"/>
      <c r="Z23" s="1"/>
      <c r="AA23" s="1"/>
      <c r="AB23" s="1"/>
      <c r="AC23" s="1"/>
      <c r="AD23" s="146" t="s">
        <v>299</v>
      </c>
      <c r="AE23" s="147">
        <f>ROUND(8.03989/100000*(S4)^2*F9*(((E18+G18)/2+273.15)*AH12*AH9)/((C18+273.15)*V7*AH10)*(1-E13/100)^2*(E8*10)^4,3)</f>
        <v>26.259</v>
      </c>
      <c r="AF23" s="148">
        <f>ROUND(8.03989/100000*(S4)^2*F9*(((E19+G19)/2+273.15)*AH12*AH9)/((C19+273.15)*V7*AH10)*(1-E13/100)^2*(E8*10)^4,3)</f>
        <v>26.408999999999999</v>
      </c>
      <c r="AG23" s="148">
        <f>ROUND(8.03989/100000*(S4)^2*F9*(((E20+G20)/2+273.15)*AH12*AH9)/((C20+273.15)*V7*AH10)*(1-E13/100)^2*(E8*10)^4,3)</f>
        <v>31.76</v>
      </c>
      <c r="AH23" s="148">
        <f>ROUND(8.03989/100000*(S4)^2*F9*(((E21+G21)/2+273.15)*AH12*AH9)/((C21+273.15)*V7*AH10)*(1-E13/100)^2*(E8*10)^4,3)</f>
        <v>31.76</v>
      </c>
      <c r="AI23" s="148">
        <f>ROUND(8.03989/100000*(S4)^2*F9*(((E22+G22)/2+273.15)*AH12*AH9)/((C22+273.15)*V7*AH10)*(1-E13/100)^2*(E8*10)^4,3)</f>
        <v>31.76</v>
      </c>
      <c r="AJ23" s="149"/>
      <c r="AK23" s="1"/>
      <c r="AL23" s="1"/>
      <c r="AM23" s="1"/>
      <c r="AN23" s="1"/>
      <c r="AO23" s="1"/>
      <c r="AP23" s="1"/>
      <c r="AQ23" s="1"/>
      <c r="AR23" s="1"/>
    </row>
    <row r="24" spans="1:44" ht="22.5" customHeight="1">
      <c r="A24" s="631" t="s">
        <v>106</v>
      </c>
      <c r="B24" s="470"/>
      <c r="C24" s="626">
        <f>AVERAGE(C18:D22)</f>
        <v>78</v>
      </c>
      <c r="D24" s="470"/>
      <c r="E24" s="635">
        <f>AVERAGE(E23:H23)</f>
        <v>18</v>
      </c>
      <c r="F24" s="523"/>
      <c r="G24" s="523"/>
      <c r="H24" s="470"/>
      <c r="I24" s="626">
        <f>AVERAGE(I18:J22)</f>
        <v>1.1000000000000001</v>
      </c>
      <c r="J24" s="470"/>
      <c r="K24" s="626">
        <f>AVERAGE(K18:L22)</f>
        <v>0.4</v>
      </c>
      <c r="L24" s="470"/>
      <c r="M24" s="635">
        <f>(SUM(M18:N22))/AA14</f>
        <v>10.5336</v>
      </c>
      <c r="N24" s="470"/>
      <c r="O24" s="626"/>
      <c r="P24" s="470"/>
      <c r="Q24" s="626"/>
      <c r="R24" s="470"/>
      <c r="S24" s="626">
        <f>AVERAGE(S18:T22)</f>
        <v>18</v>
      </c>
      <c r="T24" s="470"/>
      <c r="U24" s="599"/>
      <c r="V24" s="523"/>
      <c r="W24" s="470"/>
      <c r="X24" s="600"/>
      <c r="Y24" s="548"/>
      <c r="Z24" s="1"/>
      <c r="AA24" s="1"/>
      <c r="AB24" s="1"/>
      <c r="AC24" s="1"/>
      <c r="AD24" s="1"/>
      <c r="AE24" s="150"/>
      <c r="AF24" s="1"/>
      <c r="AG24" s="1"/>
      <c r="AH24" s="1"/>
      <c r="AI24" s="149"/>
      <c r="AJ24" s="149"/>
      <c r="AK24" s="149"/>
      <c r="AL24" s="149"/>
      <c r="AM24" s="1"/>
      <c r="AN24" s="1"/>
      <c r="AO24" s="1"/>
      <c r="AP24" s="1"/>
      <c r="AQ24" s="1"/>
      <c r="AR24" s="1"/>
    </row>
    <row r="25" spans="1:44" ht="24.75" customHeight="1">
      <c r="A25" s="151" t="s">
        <v>300</v>
      </c>
      <c r="B25" s="152"/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3"/>
      <c r="AE25" s="613" t="s">
        <v>301</v>
      </c>
      <c r="AF25" s="612" t="s">
        <v>302</v>
      </c>
      <c r="AG25" s="573"/>
      <c r="AH25" s="1"/>
      <c r="AI25" s="149"/>
      <c r="AJ25" s="149"/>
      <c r="AK25" s="1"/>
      <c r="AL25" s="1"/>
    </row>
    <row r="26" spans="1:44" ht="39.75" customHeight="1">
      <c r="A26" s="632" t="s">
        <v>112</v>
      </c>
      <c r="B26" s="500"/>
      <c r="C26" s="500"/>
      <c r="D26" s="453"/>
      <c r="E26" s="620" t="s">
        <v>70</v>
      </c>
      <c r="F26" s="500"/>
      <c r="G26" s="500"/>
      <c r="H26" s="453"/>
      <c r="I26" s="620" t="s">
        <v>73</v>
      </c>
      <c r="J26" s="453"/>
      <c r="K26" s="620" t="s">
        <v>75</v>
      </c>
      <c r="L26" s="453"/>
      <c r="M26" s="621" t="s">
        <v>303</v>
      </c>
      <c r="N26" s="500"/>
      <c r="O26" s="500"/>
      <c r="P26" s="453"/>
      <c r="Q26" s="620" t="s">
        <v>304</v>
      </c>
      <c r="R26" s="500"/>
      <c r="S26" s="500"/>
      <c r="T26" s="453"/>
      <c r="U26" s="637" t="s">
        <v>305</v>
      </c>
      <c r="V26" s="511"/>
      <c r="W26" s="511"/>
      <c r="X26" s="511"/>
      <c r="Y26" s="526"/>
      <c r="AD26" s="154"/>
      <c r="AE26" s="614"/>
      <c r="AF26" s="155" t="s">
        <v>306</v>
      </c>
      <c r="AG26" s="156" t="s">
        <v>307</v>
      </c>
      <c r="AH26" s="1"/>
      <c r="AI26" s="149"/>
      <c r="AJ26" s="149"/>
      <c r="AK26" s="157"/>
      <c r="AL26" s="1"/>
    </row>
    <row r="27" spans="1:44" ht="25.5" customHeight="1">
      <c r="A27" s="631">
        <v>1</v>
      </c>
      <c r="B27" s="523"/>
      <c r="C27" s="523"/>
      <c r="D27" s="470"/>
      <c r="E27" s="636">
        <v>2.9</v>
      </c>
      <c r="F27" s="523"/>
      <c r="G27" s="523"/>
      <c r="H27" s="470"/>
      <c r="I27" s="619">
        <v>19</v>
      </c>
      <c r="J27" s="470"/>
      <c r="K27" s="619">
        <v>19</v>
      </c>
      <c r="L27" s="470"/>
      <c r="M27" s="619">
        <v>10</v>
      </c>
      <c r="N27" s="523"/>
      <c r="O27" s="523"/>
      <c r="P27" s="470"/>
      <c r="Q27" s="633">
        <f>계산식!N7</f>
        <v>223.61</v>
      </c>
      <c r="R27" s="523"/>
      <c r="S27" s="523"/>
      <c r="T27" s="470"/>
      <c r="U27" s="618">
        <f>계산식!L7</f>
        <v>223.69</v>
      </c>
      <c r="V27" s="523"/>
      <c r="W27" s="523"/>
      <c r="X27" s="523"/>
      <c r="Y27" s="548"/>
      <c r="AE27" s="158" t="s">
        <v>308</v>
      </c>
      <c r="AF27" s="159">
        <v>60</v>
      </c>
      <c r="AG27" s="160">
        <f t="shared" ref="AG27:AG30" si="0">AF27*0.073556</f>
        <v>4.4133599999999999</v>
      </c>
      <c r="AH27" s="1"/>
      <c r="AI27" s="149"/>
      <c r="AJ27" s="149"/>
      <c r="AK27" s="1"/>
      <c r="AL27" s="1"/>
    </row>
    <row r="28" spans="1:44" ht="24.75" customHeight="1">
      <c r="A28" s="151" t="s">
        <v>309</v>
      </c>
      <c r="B28" s="152"/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2"/>
      <c r="T28" s="152"/>
      <c r="U28" s="152"/>
      <c r="V28" s="152"/>
      <c r="W28" s="152"/>
      <c r="X28" s="152"/>
      <c r="Y28" s="153"/>
      <c r="AE28" s="158" t="s">
        <v>310</v>
      </c>
      <c r="AF28" s="159">
        <v>40</v>
      </c>
      <c r="AG28" s="160">
        <f t="shared" si="0"/>
        <v>2.94224</v>
      </c>
      <c r="AH28" s="1"/>
      <c r="AI28" s="149"/>
      <c r="AJ28" s="149"/>
      <c r="AK28" s="1"/>
      <c r="AL28" s="1"/>
    </row>
    <row r="29" spans="1:44" ht="37.5" customHeight="1">
      <c r="A29" s="161" t="s">
        <v>311</v>
      </c>
      <c r="B29" s="621" t="s">
        <v>312</v>
      </c>
      <c r="C29" s="500"/>
      <c r="D29" s="453"/>
      <c r="E29" s="620" t="s">
        <v>112</v>
      </c>
      <c r="F29" s="500"/>
      <c r="G29" s="500"/>
      <c r="H29" s="453"/>
      <c r="I29" s="620" t="s">
        <v>70</v>
      </c>
      <c r="J29" s="500"/>
      <c r="K29" s="500"/>
      <c r="L29" s="453"/>
      <c r="M29" s="620" t="s">
        <v>73</v>
      </c>
      <c r="N29" s="453"/>
      <c r="O29" s="620" t="s">
        <v>75</v>
      </c>
      <c r="P29" s="453"/>
      <c r="Q29" s="621" t="s">
        <v>303</v>
      </c>
      <c r="R29" s="500"/>
      <c r="S29" s="500"/>
      <c r="T29" s="453"/>
      <c r="U29" s="593" t="s">
        <v>313</v>
      </c>
      <c r="V29" s="511"/>
      <c r="W29" s="511"/>
      <c r="X29" s="511"/>
      <c r="Y29" s="526"/>
      <c r="AE29" s="158" t="s">
        <v>314</v>
      </c>
      <c r="AF29" s="159">
        <v>35</v>
      </c>
      <c r="AG29" s="160">
        <f t="shared" si="0"/>
        <v>2.5744599999999997</v>
      </c>
      <c r="AH29" s="1"/>
      <c r="AI29" s="149"/>
      <c r="AJ29" s="149"/>
      <c r="AK29" s="1"/>
      <c r="AL29" s="1"/>
    </row>
    <row r="30" spans="1:44" ht="22.5" customHeight="1">
      <c r="A30" s="162">
        <v>1</v>
      </c>
      <c r="B30" s="591" t="s">
        <v>124</v>
      </c>
      <c r="C30" s="511"/>
      <c r="D30" s="512"/>
      <c r="E30" s="591"/>
      <c r="F30" s="511"/>
      <c r="G30" s="511"/>
      <c r="H30" s="512"/>
      <c r="I30" s="591"/>
      <c r="J30" s="511"/>
      <c r="K30" s="511"/>
      <c r="L30" s="512"/>
      <c r="M30" s="591"/>
      <c r="N30" s="512"/>
      <c r="O30" s="591"/>
      <c r="P30" s="512"/>
      <c r="Q30" s="591"/>
      <c r="R30" s="511"/>
      <c r="S30" s="511"/>
      <c r="T30" s="512"/>
      <c r="U30" s="591"/>
      <c r="V30" s="511"/>
      <c r="W30" s="511"/>
      <c r="X30" s="511"/>
      <c r="Y30" s="526"/>
      <c r="AE30" s="158" t="s">
        <v>315</v>
      </c>
      <c r="AF30" s="159">
        <v>32</v>
      </c>
      <c r="AG30" s="160">
        <f t="shared" si="0"/>
        <v>2.3537919999999999</v>
      </c>
      <c r="AH30" s="1"/>
      <c r="AI30" s="149"/>
      <c r="AJ30" s="149"/>
      <c r="AK30" s="1"/>
      <c r="AL30" s="1"/>
    </row>
    <row r="31" spans="1:44" ht="22.5" customHeight="1">
      <c r="A31" s="162">
        <v>2</v>
      </c>
      <c r="B31" s="591" t="s">
        <v>316</v>
      </c>
      <c r="C31" s="511"/>
      <c r="D31" s="512"/>
      <c r="E31" s="591"/>
      <c r="F31" s="511"/>
      <c r="G31" s="511"/>
      <c r="H31" s="512"/>
      <c r="I31" s="591"/>
      <c r="J31" s="511"/>
      <c r="K31" s="511"/>
      <c r="L31" s="512"/>
      <c r="M31" s="591"/>
      <c r="N31" s="512"/>
      <c r="O31" s="591"/>
      <c r="P31" s="512"/>
      <c r="Q31" s="591"/>
      <c r="R31" s="511"/>
      <c r="S31" s="511"/>
      <c r="T31" s="512"/>
      <c r="U31" s="591"/>
      <c r="V31" s="511"/>
      <c r="W31" s="511"/>
      <c r="X31" s="511"/>
      <c r="Y31" s="526"/>
      <c r="AE31" s="1"/>
      <c r="AF31" s="1"/>
      <c r="AG31" s="1"/>
      <c r="AH31" s="1"/>
      <c r="AI31" s="149"/>
      <c r="AJ31" s="149"/>
      <c r="AK31" s="1"/>
      <c r="AL31" s="1"/>
    </row>
    <row r="32" spans="1:44" ht="22.5" customHeight="1">
      <c r="A32" s="162">
        <v>3</v>
      </c>
      <c r="B32" s="591" t="s">
        <v>317</v>
      </c>
      <c r="C32" s="511"/>
      <c r="D32" s="512"/>
      <c r="E32" s="591"/>
      <c r="F32" s="511"/>
      <c r="G32" s="511"/>
      <c r="H32" s="512"/>
      <c r="I32" s="591"/>
      <c r="J32" s="511"/>
      <c r="K32" s="511"/>
      <c r="L32" s="512"/>
      <c r="M32" s="591"/>
      <c r="N32" s="512"/>
      <c r="O32" s="591"/>
      <c r="P32" s="512"/>
      <c r="Q32" s="591"/>
      <c r="R32" s="511"/>
      <c r="S32" s="511"/>
      <c r="T32" s="512"/>
      <c r="U32" s="591"/>
      <c r="V32" s="511"/>
      <c r="W32" s="511"/>
      <c r="X32" s="511"/>
      <c r="Y32" s="526"/>
      <c r="AE32" s="163" t="s">
        <v>110</v>
      </c>
      <c r="AF32" s="164" t="s">
        <v>318</v>
      </c>
      <c r="AG32" s="165" t="s">
        <v>319</v>
      </c>
      <c r="AH32" s="1"/>
      <c r="AI32" s="149"/>
      <c r="AJ32" s="149"/>
      <c r="AK32" s="1"/>
      <c r="AL32" s="1"/>
    </row>
    <row r="33" spans="1:38" ht="22.5" customHeight="1">
      <c r="A33" s="162">
        <v>4</v>
      </c>
      <c r="B33" s="591" t="s">
        <v>320</v>
      </c>
      <c r="C33" s="511"/>
      <c r="D33" s="512"/>
      <c r="E33" s="591"/>
      <c r="F33" s="511"/>
      <c r="G33" s="511"/>
      <c r="H33" s="512"/>
      <c r="I33" s="591"/>
      <c r="J33" s="511"/>
      <c r="K33" s="511"/>
      <c r="L33" s="512"/>
      <c r="M33" s="591"/>
      <c r="N33" s="512"/>
      <c r="O33" s="591"/>
      <c r="P33" s="512"/>
      <c r="Q33" s="591"/>
      <c r="R33" s="511"/>
      <c r="S33" s="511"/>
      <c r="T33" s="512"/>
      <c r="U33" s="591"/>
      <c r="V33" s="511"/>
      <c r="W33" s="511"/>
      <c r="X33" s="511"/>
      <c r="Y33" s="526"/>
      <c r="AE33" s="166">
        <v>1</v>
      </c>
      <c r="AF33" s="167">
        <v>3.99</v>
      </c>
      <c r="AG33" s="168">
        <v>0.157</v>
      </c>
      <c r="AH33" s="1"/>
      <c r="AI33" s="149"/>
      <c r="AJ33" s="149"/>
      <c r="AK33" s="1"/>
      <c r="AL33" s="1"/>
    </row>
    <row r="34" spans="1:38" ht="22.5" customHeight="1">
      <c r="A34" s="162">
        <v>5</v>
      </c>
      <c r="B34" s="591" t="s">
        <v>321</v>
      </c>
      <c r="C34" s="511"/>
      <c r="D34" s="512"/>
      <c r="E34" s="591"/>
      <c r="F34" s="511"/>
      <c r="G34" s="511"/>
      <c r="H34" s="512"/>
      <c r="I34" s="591"/>
      <c r="J34" s="511"/>
      <c r="K34" s="511"/>
      <c r="L34" s="512"/>
      <c r="M34" s="591"/>
      <c r="N34" s="512"/>
      <c r="O34" s="591"/>
      <c r="P34" s="512"/>
      <c r="Q34" s="591"/>
      <c r="R34" s="511"/>
      <c r="S34" s="511"/>
      <c r="T34" s="512"/>
      <c r="U34" s="591"/>
      <c r="V34" s="511"/>
      <c r="W34" s="511"/>
      <c r="X34" s="511"/>
      <c r="Y34" s="526"/>
      <c r="AE34" s="166">
        <v>2</v>
      </c>
      <c r="AF34" s="167">
        <v>4.51</v>
      </c>
      <c r="AG34" s="168">
        <v>0.17799999999999999</v>
      </c>
      <c r="AH34" s="1"/>
      <c r="AI34" s="149"/>
      <c r="AJ34" s="149"/>
      <c r="AK34" s="1"/>
      <c r="AL34" s="1"/>
    </row>
    <row r="35" spans="1:38" ht="22.5" customHeight="1">
      <c r="A35" s="162">
        <v>6</v>
      </c>
      <c r="B35" s="591" t="s">
        <v>322</v>
      </c>
      <c r="C35" s="511"/>
      <c r="D35" s="512"/>
      <c r="E35" s="591"/>
      <c r="F35" s="511"/>
      <c r="G35" s="511"/>
      <c r="H35" s="512"/>
      <c r="I35" s="591"/>
      <c r="J35" s="511"/>
      <c r="K35" s="511"/>
      <c r="L35" s="512"/>
      <c r="M35" s="591"/>
      <c r="N35" s="512"/>
      <c r="O35" s="591"/>
      <c r="P35" s="512"/>
      <c r="Q35" s="591"/>
      <c r="R35" s="511"/>
      <c r="S35" s="511"/>
      <c r="T35" s="512"/>
      <c r="U35" s="591"/>
      <c r="V35" s="511"/>
      <c r="W35" s="511"/>
      <c r="X35" s="511"/>
      <c r="Y35" s="526"/>
      <c r="AE35" s="166">
        <v>3</v>
      </c>
      <c r="AF35" s="167">
        <v>6.45</v>
      </c>
      <c r="AG35" s="168">
        <v>0.254</v>
      </c>
      <c r="AH35" s="1"/>
      <c r="AI35" s="1"/>
      <c r="AJ35" s="1"/>
      <c r="AK35" s="1"/>
      <c r="AL35" s="1"/>
    </row>
    <row r="36" spans="1:38" ht="22.5" customHeight="1">
      <c r="A36" s="162">
        <v>7</v>
      </c>
      <c r="B36" s="591"/>
      <c r="C36" s="511"/>
      <c r="D36" s="512"/>
      <c r="E36" s="591"/>
      <c r="F36" s="511"/>
      <c r="G36" s="511"/>
      <c r="H36" s="512"/>
      <c r="I36" s="591"/>
      <c r="J36" s="511"/>
      <c r="K36" s="511"/>
      <c r="L36" s="512"/>
      <c r="M36" s="591"/>
      <c r="N36" s="512"/>
      <c r="O36" s="591"/>
      <c r="P36" s="512"/>
      <c r="Q36" s="591"/>
      <c r="R36" s="511"/>
      <c r="S36" s="511"/>
      <c r="T36" s="512"/>
      <c r="U36" s="591"/>
      <c r="V36" s="511"/>
      <c r="W36" s="511"/>
      <c r="X36" s="511"/>
      <c r="Y36" s="526"/>
      <c r="AE36" s="166">
        <v>4</v>
      </c>
      <c r="AF36" s="167">
        <v>7.89</v>
      </c>
      <c r="AG36" s="168">
        <v>0.311</v>
      </c>
      <c r="AH36" s="1"/>
      <c r="AI36" s="1"/>
      <c r="AJ36" s="1"/>
      <c r="AK36" s="1"/>
      <c r="AL36" s="1"/>
    </row>
    <row r="37" spans="1:38" ht="22.5" customHeight="1">
      <c r="A37" s="162">
        <v>8</v>
      </c>
      <c r="B37" s="591"/>
      <c r="C37" s="511"/>
      <c r="D37" s="512"/>
      <c r="E37" s="591"/>
      <c r="F37" s="511"/>
      <c r="G37" s="511"/>
      <c r="H37" s="512"/>
      <c r="I37" s="591"/>
      <c r="J37" s="511"/>
      <c r="K37" s="511"/>
      <c r="L37" s="512"/>
      <c r="M37" s="591"/>
      <c r="N37" s="512"/>
      <c r="O37" s="591"/>
      <c r="P37" s="512"/>
      <c r="Q37" s="591"/>
      <c r="R37" s="511"/>
      <c r="S37" s="511"/>
      <c r="T37" s="512"/>
      <c r="U37" s="591"/>
      <c r="V37" s="511"/>
      <c r="W37" s="511"/>
      <c r="X37" s="511"/>
      <c r="Y37" s="526"/>
      <c r="AE37" s="166">
        <v>5</v>
      </c>
      <c r="AF37" s="167">
        <v>9.3699999999999992</v>
      </c>
      <c r="AG37" s="168">
        <v>0.36899999999999999</v>
      </c>
      <c r="AH37" s="1"/>
      <c r="AI37" s="1"/>
      <c r="AJ37" s="1"/>
      <c r="AK37" s="1"/>
      <c r="AL37" s="1"/>
    </row>
    <row r="38" spans="1:38" ht="22.5" customHeight="1">
      <c r="A38" s="162">
        <v>9</v>
      </c>
      <c r="B38" s="591"/>
      <c r="C38" s="511"/>
      <c r="D38" s="512"/>
      <c r="E38" s="591"/>
      <c r="F38" s="511"/>
      <c r="G38" s="511"/>
      <c r="H38" s="512"/>
      <c r="I38" s="591"/>
      <c r="J38" s="511"/>
      <c r="K38" s="511"/>
      <c r="L38" s="512"/>
      <c r="M38" s="591"/>
      <c r="N38" s="512"/>
      <c r="O38" s="591"/>
      <c r="P38" s="512"/>
      <c r="Q38" s="591"/>
      <c r="R38" s="511"/>
      <c r="S38" s="511"/>
      <c r="T38" s="512"/>
      <c r="U38" s="591"/>
      <c r="V38" s="511"/>
      <c r="W38" s="511"/>
      <c r="X38" s="511"/>
      <c r="Y38" s="526"/>
      <c r="AE38" s="169">
        <v>6</v>
      </c>
      <c r="AF38" s="170">
        <v>12.69</v>
      </c>
      <c r="AG38" s="171">
        <v>0.5</v>
      </c>
      <c r="AH38" s="1"/>
      <c r="AI38" s="1"/>
      <c r="AJ38" s="1"/>
      <c r="AK38" s="1"/>
      <c r="AL38" s="1"/>
    </row>
    <row r="39" spans="1:38" ht="22.5" customHeight="1">
      <c r="A39" s="162">
        <v>10</v>
      </c>
      <c r="B39" s="591"/>
      <c r="C39" s="511"/>
      <c r="D39" s="512"/>
      <c r="E39" s="591"/>
      <c r="F39" s="511"/>
      <c r="G39" s="511"/>
      <c r="H39" s="512"/>
      <c r="I39" s="591"/>
      <c r="J39" s="511"/>
      <c r="K39" s="511"/>
      <c r="L39" s="512"/>
      <c r="M39" s="591"/>
      <c r="N39" s="512"/>
      <c r="O39" s="591"/>
      <c r="P39" s="512"/>
      <c r="Q39" s="591"/>
      <c r="R39" s="511"/>
      <c r="S39" s="511"/>
      <c r="T39" s="512"/>
      <c r="U39" s="591"/>
      <c r="V39" s="511"/>
      <c r="W39" s="511"/>
      <c r="X39" s="511"/>
      <c r="Y39" s="526"/>
      <c r="AE39" s="1"/>
      <c r="AF39" s="1"/>
      <c r="AG39" s="1"/>
      <c r="AH39" s="1"/>
      <c r="AI39" s="1"/>
      <c r="AJ39" s="1"/>
      <c r="AK39" s="1"/>
      <c r="AL39" s="1"/>
    </row>
    <row r="40" spans="1:38" ht="22.5" customHeight="1">
      <c r="A40" s="162">
        <v>11</v>
      </c>
      <c r="B40" s="591"/>
      <c r="C40" s="511"/>
      <c r="D40" s="512"/>
      <c r="E40" s="591"/>
      <c r="F40" s="511"/>
      <c r="G40" s="511"/>
      <c r="H40" s="512"/>
      <c r="I40" s="591"/>
      <c r="J40" s="511"/>
      <c r="K40" s="511"/>
      <c r="L40" s="512"/>
      <c r="M40" s="591"/>
      <c r="N40" s="512"/>
      <c r="O40" s="591"/>
      <c r="P40" s="512"/>
      <c r="Q40" s="591"/>
      <c r="R40" s="511"/>
      <c r="S40" s="511"/>
      <c r="T40" s="512"/>
      <c r="U40" s="591"/>
      <c r="V40" s="511"/>
      <c r="W40" s="511"/>
      <c r="X40" s="511"/>
      <c r="Y40" s="526"/>
      <c r="AE40" s="1"/>
      <c r="AF40" s="1"/>
      <c r="AG40" s="1"/>
      <c r="AH40" s="1"/>
      <c r="AI40" s="1"/>
      <c r="AJ40" s="1"/>
      <c r="AK40" s="1"/>
      <c r="AL40" s="1"/>
    </row>
    <row r="41" spans="1:38" ht="22.5" customHeight="1">
      <c r="A41" s="162">
        <v>12</v>
      </c>
      <c r="B41" s="591"/>
      <c r="C41" s="511"/>
      <c r="D41" s="512"/>
      <c r="E41" s="591"/>
      <c r="F41" s="511"/>
      <c r="G41" s="511"/>
      <c r="H41" s="512"/>
      <c r="I41" s="591"/>
      <c r="J41" s="511"/>
      <c r="K41" s="511"/>
      <c r="L41" s="512"/>
      <c r="M41" s="591"/>
      <c r="N41" s="512"/>
      <c r="O41" s="591"/>
      <c r="P41" s="512"/>
      <c r="Q41" s="591"/>
      <c r="R41" s="511"/>
      <c r="S41" s="511"/>
      <c r="T41" s="512"/>
      <c r="U41" s="591"/>
      <c r="V41" s="511"/>
      <c r="W41" s="511"/>
      <c r="X41" s="511"/>
      <c r="Y41" s="526"/>
      <c r="AE41" s="1"/>
      <c r="AF41" s="1"/>
      <c r="AG41" s="1"/>
      <c r="AH41" s="1"/>
      <c r="AI41" s="1"/>
      <c r="AJ41" s="1"/>
      <c r="AK41" s="1"/>
      <c r="AL41" s="1"/>
    </row>
    <row r="42" spans="1:38" ht="22.5" customHeight="1">
      <c r="A42" s="162">
        <v>13</v>
      </c>
      <c r="B42" s="591"/>
      <c r="C42" s="511"/>
      <c r="D42" s="512"/>
      <c r="E42" s="591"/>
      <c r="F42" s="511"/>
      <c r="G42" s="511"/>
      <c r="H42" s="512"/>
      <c r="I42" s="591"/>
      <c r="J42" s="511"/>
      <c r="K42" s="511"/>
      <c r="L42" s="512"/>
      <c r="M42" s="591"/>
      <c r="N42" s="512"/>
      <c r="O42" s="591"/>
      <c r="P42" s="512"/>
      <c r="Q42" s="591"/>
      <c r="R42" s="511"/>
      <c r="S42" s="511"/>
      <c r="T42" s="512"/>
      <c r="U42" s="591"/>
      <c r="V42" s="511"/>
      <c r="W42" s="511"/>
      <c r="X42" s="511"/>
      <c r="Y42" s="526"/>
      <c r="AE42" s="1"/>
      <c r="AF42" s="1"/>
      <c r="AG42" s="1"/>
      <c r="AH42" s="1"/>
      <c r="AI42" s="1"/>
      <c r="AJ42" s="1"/>
      <c r="AK42" s="1"/>
      <c r="AL42" s="1"/>
    </row>
    <row r="43" spans="1:38" ht="22.5" customHeight="1">
      <c r="A43" s="162">
        <v>14</v>
      </c>
      <c r="B43" s="591"/>
      <c r="C43" s="511"/>
      <c r="D43" s="512"/>
      <c r="E43" s="591"/>
      <c r="F43" s="511"/>
      <c r="G43" s="511"/>
      <c r="H43" s="512"/>
      <c r="I43" s="591"/>
      <c r="J43" s="511"/>
      <c r="K43" s="511"/>
      <c r="L43" s="512"/>
      <c r="M43" s="591"/>
      <c r="N43" s="512"/>
      <c r="O43" s="591"/>
      <c r="P43" s="512"/>
      <c r="Q43" s="591"/>
      <c r="R43" s="511"/>
      <c r="S43" s="511"/>
      <c r="T43" s="512"/>
      <c r="U43" s="591"/>
      <c r="V43" s="511"/>
      <c r="W43" s="511"/>
      <c r="X43" s="511"/>
      <c r="Y43" s="526"/>
      <c r="AE43" s="1"/>
      <c r="AF43" s="1"/>
      <c r="AG43" s="1"/>
      <c r="AH43" s="1"/>
      <c r="AI43" s="1"/>
      <c r="AJ43" s="1"/>
      <c r="AK43" s="1"/>
      <c r="AL43" s="1"/>
    </row>
    <row r="44" spans="1:38" ht="22.5" customHeight="1">
      <c r="A44" s="162">
        <v>15</v>
      </c>
      <c r="B44" s="591"/>
      <c r="C44" s="511"/>
      <c r="D44" s="512"/>
      <c r="E44" s="591"/>
      <c r="F44" s="511"/>
      <c r="G44" s="511"/>
      <c r="H44" s="512"/>
      <c r="I44" s="591"/>
      <c r="J44" s="511"/>
      <c r="K44" s="511"/>
      <c r="L44" s="512"/>
      <c r="M44" s="591"/>
      <c r="N44" s="512"/>
      <c r="O44" s="591"/>
      <c r="P44" s="512"/>
      <c r="Q44" s="591"/>
      <c r="R44" s="511"/>
      <c r="S44" s="511"/>
      <c r="T44" s="512"/>
      <c r="U44" s="591"/>
      <c r="V44" s="511"/>
      <c r="W44" s="511"/>
      <c r="X44" s="511"/>
      <c r="Y44" s="526"/>
      <c r="AE44" s="1"/>
      <c r="AF44" s="1"/>
      <c r="AG44" s="1"/>
      <c r="AH44" s="1"/>
      <c r="AI44" s="1"/>
      <c r="AJ44" s="1"/>
      <c r="AK44" s="1"/>
      <c r="AL44" s="1"/>
    </row>
    <row r="45" spans="1:38" ht="22.5" customHeight="1">
      <c r="A45" s="162">
        <v>16</v>
      </c>
      <c r="B45" s="591"/>
      <c r="C45" s="511"/>
      <c r="D45" s="512"/>
      <c r="E45" s="591"/>
      <c r="F45" s="511"/>
      <c r="G45" s="511"/>
      <c r="H45" s="512"/>
      <c r="I45" s="591"/>
      <c r="J45" s="511"/>
      <c r="K45" s="511"/>
      <c r="L45" s="512"/>
      <c r="M45" s="591"/>
      <c r="N45" s="512"/>
      <c r="O45" s="591"/>
      <c r="P45" s="512"/>
      <c r="Q45" s="591"/>
      <c r="R45" s="511"/>
      <c r="S45" s="511"/>
      <c r="T45" s="512"/>
      <c r="U45" s="591"/>
      <c r="V45" s="511"/>
      <c r="W45" s="511"/>
      <c r="X45" s="511"/>
      <c r="Y45" s="526"/>
      <c r="AE45" s="1"/>
      <c r="AF45" s="1"/>
      <c r="AG45" s="1"/>
      <c r="AH45" s="1"/>
      <c r="AI45" s="1"/>
      <c r="AJ45" s="1"/>
      <c r="AK45" s="1"/>
      <c r="AL45" s="1"/>
    </row>
    <row r="46" spans="1:38" ht="22.5" customHeight="1">
      <c r="A46" s="162">
        <v>17</v>
      </c>
      <c r="B46" s="591"/>
      <c r="C46" s="511"/>
      <c r="D46" s="512"/>
      <c r="E46" s="591"/>
      <c r="F46" s="511"/>
      <c r="G46" s="511"/>
      <c r="H46" s="512"/>
      <c r="I46" s="591"/>
      <c r="J46" s="511"/>
      <c r="K46" s="511"/>
      <c r="L46" s="512"/>
      <c r="M46" s="591"/>
      <c r="N46" s="512"/>
      <c r="O46" s="591"/>
      <c r="P46" s="512"/>
      <c r="Q46" s="591"/>
      <c r="R46" s="511"/>
      <c r="S46" s="511"/>
      <c r="T46" s="512"/>
      <c r="U46" s="591"/>
      <c r="V46" s="511"/>
      <c r="W46" s="511"/>
      <c r="X46" s="511"/>
      <c r="Y46" s="526"/>
      <c r="AE46" s="1"/>
      <c r="AF46" s="1"/>
      <c r="AG46" s="1"/>
      <c r="AH46" s="1"/>
      <c r="AI46" s="1"/>
      <c r="AJ46" s="1"/>
      <c r="AK46" s="1"/>
      <c r="AL46" s="1"/>
    </row>
    <row r="47" spans="1:38" ht="22.5" customHeight="1">
      <c r="A47" s="162">
        <v>18</v>
      </c>
      <c r="B47" s="591"/>
      <c r="C47" s="511"/>
      <c r="D47" s="512"/>
      <c r="E47" s="591"/>
      <c r="F47" s="511"/>
      <c r="G47" s="511"/>
      <c r="H47" s="512"/>
      <c r="I47" s="591"/>
      <c r="J47" s="511"/>
      <c r="K47" s="511"/>
      <c r="L47" s="512"/>
      <c r="M47" s="591"/>
      <c r="N47" s="512"/>
      <c r="O47" s="591"/>
      <c r="P47" s="512"/>
      <c r="Q47" s="591"/>
      <c r="R47" s="511"/>
      <c r="S47" s="511"/>
      <c r="T47" s="512"/>
      <c r="U47" s="591"/>
      <c r="V47" s="511"/>
      <c r="W47" s="511"/>
      <c r="X47" s="511"/>
      <c r="Y47" s="526"/>
      <c r="AE47" s="1"/>
      <c r="AF47" s="1"/>
      <c r="AG47" s="1"/>
      <c r="AH47" s="1"/>
      <c r="AI47" s="1"/>
      <c r="AJ47" s="1"/>
      <c r="AK47" s="1"/>
      <c r="AL47" s="1"/>
    </row>
    <row r="48" spans="1:38" ht="15" customHeight="1">
      <c r="A48" s="172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73"/>
      <c r="U48" s="627" t="s">
        <v>323</v>
      </c>
      <c r="V48" s="478"/>
      <c r="W48" s="628"/>
      <c r="X48" s="477"/>
      <c r="Y48" s="629"/>
      <c r="AE48" s="1"/>
      <c r="AF48" s="1"/>
      <c r="AG48" s="1"/>
      <c r="AH48" s="1"/>
      <c r="AI48" s="1"/>
      <c r="AJ48" s="1"/>
      <c r="AK48" s="1"/>
      <c r="AL48" s="1"/>
    </row>
    <row r="49" spans="1:38" ht="21.75" customHeight="1">
      <c r="A49" s="174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6"/>
      <c r="U49" s="482"/>
      <c r="V49" s="483"/>
      <c r="W49" s="482"/>
      <c r="X49" s="482"/>
      <c r="Y49" s="630"/>
      <c r="AE49" s="1"/>
      <c r="AF49" s="1"/>
      <c r="AG49" s="1"/>
      <c r="AH49" s="1"/>
      <c r="AI49" s="1"/>
      <c r="AJ49" s="1"/>
      <c r="AK49" s="1"/>
      <c r="AL49" s="1"/>
    </row>
    <row r="50" spans="1:38" ht="9.75" customHeight="1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AE50" s="1"/>
      <c r="AF50" s="1"/>
      <c r="AG50" s="1"/>
      <c r="AH50" s="1"/>
      <c r="AI50" s="1"/>
      <c r="AJ50" s="1"/>
      <c r="AK50" s="1"/>
      <c r="AL50" s="1"/>
    </row>
    <row r="51" spans="1:38" ht="16.5" customHeight="1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AE51" s="1"/>
      <c r="AF51" s="1"/>
      <c r="AG51" s="1"/>
      <c r="AH51" s="1"/>
      <c r="AI51" s="1"/>
      <c r="AJ51" s="1"/>
      <c r="AK51" s="1"/>
      <c r="AL51" s="1"/>
    </row>
    <row r="52" spans="1:38" ht="16.5" customHeight="1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AE52" s="1"/>
      <c r="AF52" s="1"/>
      <c r="AG52" s="1"/>
      <c r="AH52" s="1"/>
      <c r="AI52" s="1"/>
      <c r="AJ52" s="1"/>
      <c r="AK52" s="1"/>
      <c r="AL52" s="1"/>
    </row>
    <row r="53" spans="1:38" ht="16.5" customHeight="1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AE53" s="1"/>
      <c r="AF53" s="1"/>
      <c r="AG53" s="1"/>
      <c r="AH53" s="1"/>
      <c r="AI53" s="1"/>
      <c r="AJ53" s="1"/>
      <c r="AK53" s="1"/>
      <c r="AL53" s="1"/>
    </row>
    <row r="54" spans="1:38" ht="16.5" customHeight="1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AE54" s="1"/>
      <c r="AF54" s="1"/>
      <c r="AG54" s="1"/>
      <c r="AH54" s="1"/>
      <c r="AI54" s="1"/>
      <c r="AJ54" s="1"/>
      <c r="AK54" s="1"/>
      <c r="AL54" s="1"/>
    </row>
    <row r="55" spans="1:38" ht="16.5" customHeight="1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AE55" s="1"/>
      <c r="AF55" s="1"/>
      <c r="AG55" s="1"/>
      <c r="AH55" s="1"/>
      <c r="AI55" s="1"/>
      <c r="AJ55" s="1"/>
      <c r="AK55" s="1"/>
      <c r="AL55" s="1"/>
    </row>
    <row r="56" spans="1:38" ht="16.5" customHeight="1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AE56" s="1"/>
      <c r="AF56" s="1"/>
      <c r="AG56" s="1"/>
      <c r="AH56" s="1"/>
      <c r="AI56" s="1"/>
      <c r="AJ56" s="1"/>
      <c r="AK56" s="1"/>
      <c r="AL56" s="1"/>
    </row>
    <row r="57" spans="1:38" ht="16.5" customHeight="1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AE57" s="1"/>
      <c r="AF57" s="1"/>
      <c r="AG57" s="1"/>
      <c r="AH57" s="1"/>
      <c r="AI57" s="1"/>
      <c r="AJ57" s="1"/>
      <c r="AK57" s="1"/>
      <c r="AL57" s="1"/>
    </row>
    <row r="58" spans="1:38" ht="16.5" customHeight="1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AE58" s="1"/>
      <c r="AF58" s="1"/>
      <c r="AG58" s="1"/>
      <c r="AH58" s="1"/>
      <c r="AI58" s="1"/>
      <c r="AJ58" s="1"/>
      <c r="AK58" s="1"/>
      <c r="AL58" s="1"/>
    </row>
    <row r="59" spans="1:38" ht="16.5" customHeight="1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AE59" s="1"/>
      <c r="AF59" s="1"/>
      <c r="AG59" s="1"/>
      <c r="AH59" s="1"/>
      <c r="AI59" s="1"/>
      <c r="AJ59" s="1"/>
      <c r="AK59" s="1"/>
      <c r="AL59" s="1"/>
    </row>
    <row r="60" spans="1:38" ht="16.5" customHeight="1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AE60" s="1"/>
      <c r="AF60" s="1"/>
      <c r="AG60" s="1"/>
      <c r="AH60" s="1"/>
      <c r="AI60" s="1"/>
      <c r="AJ60" s="1"/>
      <c r="AK60" s="1"/>
      <c r="AL60" s="1"/>
    </row>
    <row r="61" spans="1:38" ht="16.5" customHeight="1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AE61" s="1"/>
      <c r="AF61" s="1"/>
      <c r="AG61" s="1"/>
      <c r="AH61" s="1"/>
      <c r="AI61" s="1"/>
      <c r="AJ61" s="1"/>
      <c r="AK61" s="1"/>
      <c r="AL61" s="1"/>
    </row>
    <row r="62" spans="1:38" ht="16.5" customHeight="1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AE62" s="1"/>
      <c r="AF62" s="1"/>
      <c r="AG62" s="1"/>
      <c r="AH62" s="1"/>
      <c r="AI62" s="1"/>
      <c r="AJ62" s="1"/>
      <c r="AK62" s="1"/>
      <c r="AL62" s="1"/>
    </row>
    <row r="63" spans="1:38" ht="16.5" customHeight="1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AE63" s="1"/>
      <c r="AF63" s="1"/>
      <c r="AG63" s="1"/>
      <c r="AH63" s="1"/>
      <c r="AI63" s="1"/>
      <c r="AJ63" s="1"/>
      <c r="AK63" s="1"/>
      <c r="AL63" s="1"/>
    </row>
    <row r="64" spans="1:38" ht="16.5" customHeight="1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AE64" s="1"/>
      <c r="AF64" s="1"/>
      <c r="AG64" s="1"/>
      <c r="AH64" s="1"/>
      <c r="AI64" s="1"/>
      <c r="AJ64" s="1"/>
      <c r="AK64" s="1"/>
      <c r="AL64" s="1"/>
    </row>
    <row r="65" spans="1:38" ht="16.5" customHeight="1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AE65" s="1"/>
      <c r="AF65" s="1"/>
      <c r="AG65" s="1"/>
      <c r="AH65" s="1"/>
      <c r="AI65" s="1"/>
      <c r="AJ65" s="1"/>
      <c r="AK65" s="1"/>
      <c r="AL65" s="1"/>
    </row>
    <row r="66" spans="1:38" ht="16.5" customHeight="1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AE66" s="1"/>
      <c r="AF66" s="1"/>
      <c r="AG66" s="1"/>
      <c r="AH66" s="1"/>
      <c r="AI66" s="1"/>
      <c r="AJ66" s="1"/>
      <c r="AK66" s="1"/>
      <c r="AL66" s="1"/>
    </row>
    <row r="67" spans="1:38" ht="16.5" customHeight="1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AE67" s="1"/>
      <c r="AF67" s="1"/>
      <c r="AG67" s="1"/>
      <c r="AH67" s="1"/>
      <c r="AI67" s="1"/>
      <c r="AJ67" s="1"/>
      <c r="AK67" s="1"/>
      <c r="AL67" s="1"/>
    </row>
    <row r="68" spans="1:38" ht="16.5" customHeight="1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AE68" s="1"/>
      <c r="AF68" s="1"/>
      <c r="AG68" s="1"/>
      <c r="AH68" s="1"/>
      <c r="AI68" s="1"/>
      <c r="AJ68" s="1"/>
      <c r="AK68" s="1"/>
      <c r="AL68" s="1"/>
    </row>
    <row r="69" spans="1:38" ht="16.5" customHeight="1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AE69" s="1"/>
      <c r="AF69" s="1"/>
      <c r="AG69" s="1"/>
      <c r="AH69" s="1"/>
      <c r="AI69" s="1"/>
      <c r="AJ69" s="1"/>
      <c r="AK69" s="1"/>
      <c r="AL69" s="1"/>
    </row>
    <row r="70" spans="1:38" ht="16.5" customHeight="1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AE70" s="1"/>
      <c r="AF70" s="1"/>
      <c r="AG70" s="1"/>
      <c r="AH70" s="1"/>
      <c r="AI70" s="1"/>
      <c r="AJ70" s="1"/>
      <c r="AK70" s="1"/>
      <c r="AL70" s="1"/>
    </row>
    <row r="71" spans="1:38" ht="16.5" customHeight="1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AE71" s="1"/>
      <c r="AF71" s="1"/>
      <c r="AG71" s="1"/>
      <c r="AH71" s="1"/>
      <c r="AI71" s="1"/>
      <c r="AJ71" s="1"/>
      <c r="AK71" s="1"/>
      <c r="AL71" s="1"/>
    </row>
    <row r="72" spans="1:38" ht="16.5" customHeight="1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AE72" s="1"/>
      <c r="AF72" s="1"/>
      <c r="AG72" s="1"/>
      <c r="AH72" s="1"/>
      <c r="AI72" s="1"/>
      <c r="AJ72" s="1"/>
      <c r="AK72" s="1"/>
      <c r="AL72" s="1"/>
    </row>
    <row r="73" spans="1:38" ht="16.5" customHeight="1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AE73" s="1"/>
      <c r="AF73" s="1"/>
      <c r="AG73" s="1"/>
      <c r="AH73" s="1"/>
      <c r="AI73" s="1"/>
      <c r="AJ73" s="1"/>
      <c r="AK73" s="1"/>
      <c r="AL73" s="1"/>
    </row>
    <row r="74" spans="1:38" ht="16.5" customHeight="1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AE74" s="1"/>
      <c r="AF74" s="1"/>
      <c r="AG74" s="1"/>
      <c r="AH74" s="1"/>
      <c r="AI74" s="1"/>
      <c r="AJ74" s="1"/>
      <c r="AK74" s="1"/>
      <c r="AL74" s="1"/>
    </row>
    <row r="75" spans="1:38" ht="16.5" customHeight="1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AE75" s="1"/>
      <c r="AF75" s="1"/>
      <c r="AG75" s="1"/>
      <c r="AH75" s="1"/>
      <c r="AI75" s="1"/>
      <c r="AJ75" s="1"/>
      <c r="AK75" s="1"/>
      <c r="AL75" s="1"/>
    </row>
    <row r="76" spans="1:38" ht="16.5" customHeight="1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AE76" s="1"/>
      <c r="AF76" s="1"/>
      <c r="AG76" s="1"/>
      <c r="AH76" s="1"/>
      <c r="AI76" s="1"/>
      <c r="AJ76" s="1"/>
      <c r="AK76" s="1"/>
      <c r="AL76" s="1"/>
    </row>
    <row r="77" spans="1:38" ht="16.5" customHeight="1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AE77" s="1"/>
      <c r="AF77" s="1"/>
      <c r="AG77" s="1"/>
      <c r="AH77" s="1"/>
      <c r="AI77" s="1"/>
      <c r="AJ77" s="1"/>
      <c r="AK77" s="1"/>
      <c r="AL77" s="1"/>
    </row>
    <row r="78" spans="1:38" ht="16.5" customHeight="1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AE78" s="1"/>
      <c r="AF78" s="1"/>
      <c r="AG78" s="1"/>
      <c r="AH78" s="1"/>
      <c r="AI78" s="1"/>
      <c r="AJ78" s="1"/>
      <c r="AK78" s="1"/>
      <c r="AL78" s="1"/>
    </row>
    <row r="79" spans="1:38" ht="16.5" customHeight="1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AE79" s="1"/>
      <c r="AF79" s="1"/>
      <c r="AG79" s="1"/>
      <c r="AH79" s="1"/>
      <c r="AI79" s="1"/>
      <c r="AJ79" s="1"/>
      <c r="AK79" s="1"/>
      <c r="AL79" s="1"/>
    </row>
    <row r="80" spans="1:38" ht="16.5" customHeight="1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AE80" s="1"/>
      <c r="AF80" s="1"/>
      <c r="AG80" s="1"/>
      <c r="AH80" s="1"/>
      <c r="AI80" s="1"/>
      <c r="AJ80" s="1"/>
      <c r="AK80" s="1"/>
      <c r="AL80" s="1"/>
    </row>
    <row r="81" spans="1:38" ht="16.5" customHeight="1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AE81" s="1"/>
      <c r="AF81" s="1"/>
      <c r="AG81" s="1"/>
      <c r="AH81" s="1"/>
      <c r="AI81" s="1"/>
      <c r="AJ81" s="1"/>
      <c r="AK81" s="1"/>
      <c r="AL81" s="1"/>
    </row>
    <row r="82" spans="1:38" ht="16.5" customHeight="1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AE82" s="1"/>
      <c r="AF82" s="1"/>
      <c r="AG82" s="1"/>
      <c r="AH82" s="1"/>
      <c r="AI82" s="1"/>
      <c r="AJ82" s="1"/>
      <c r="AK82" s="1"/>
      <c r="AL82" s="1"/>
    </row>
    <row r="83" spans="1:38" ht="16.5" customHeight="1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AE83" s="1"/>
      <c r="AF83" s="1"/>
      <c r="AG83" s="1"/>
      <c r="AH83" s="1"/>
      <c r="AI83" s="1"/>
      <c r="AJ83" s="1"/>
      <c r="AK83" s="1"/>
      <c r="AL83" s="1"/>
    </row>
    <row r="84" spans="1:38" ht="16.5" customHeight="1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AE84" s="1"/>
      <c r="AF84" s="1"/>
      <c r="AG84" s="1"/>
      <c r="AH84" s="1"/>
      <c r="AI84" s="1"/>
      <c r="AJ84" s="1"/>
      <c r="AK84" s="1"/>
      <c r="AL84" s="1"/>
    </row>
    <row r="85" spans="1:38" ht="16.5" customHeight="1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AE85" s="1"/>
      <c r="AF85" s="1"/>
      <c r="AG85" s="1"/>
      <c r="AH85" s="1"/>
      <c r="AI85" s="1"/>
      <c r="AJ85" s="1"/>
      <c r="AK85" s="1"/>
      <c r="AL85" s="1"/>
    </row>
    <row r="86" spans="1:38" ht="16.5" customHeight="1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AE86" s="1"/>
      <c r="AF86" s="1"/>
      <c r="AG86" s="1"/>
      <c r="AH86" s="1"/>
      <c r="AI86" s="1"/>
      <c r="AJ86" s="1"/>
      <c r="AK86" s="1"/>
      <c r="AL86" s="1"/>
    </row>
    <row r="87" spans="1:38" ht="16.5" customHeight="1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AE87" s="1"/>
      <c r="AF87" s="1"/>
      <c r="AG87" s="1"/>
      <c r="AH87" s="1"/>
      <c r="AI87" s="1"/>
      <c r="AJ87" s="1"/>
      <c r="AK87" s="1"/>
      <c r="AL87" s="1"/>
    </row>
    <row r="88" spans="1:38" ht="16.5" customHeight="1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AE88" s="1"/>
      <c r="AF88" s="1"/>
      <c r="AG88" s="1"/>
      <c r="AH88" s="1"/>
      <c r="AI88" s="1"/>
      <c r="AJ88" s="1"/>
      <c r="AK88" s="1"/>
      <c r="AL88" s="1"/>
    </row>
    <row r="89" spans="1:38" ht="16.5" customHeight="1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AE89" s="1"/>
      <c r="AF89" s="1"/>
      <c r="AG89" s="1"/>
      <c r="AH89" s="1"/>
      <c r="AI89" s="1"/>
      <c r="AJ89" s="1"/>
      <c r="AK89" s="1"/>
      <c r="AL89" s="1"/>
    </row>
    <row r="90" spans="1:38" ht="16.5" customHeight="1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AE90" s="1"/>
      <c r="AF90" s="1"/>
      <c r="AG90" s="1"/>
      <c r="AH90" s="1"/>
      <c r="AI90" s="1"/>
      <c r="AJ90" s="1"/>
      <c r="AK90" s="1"/>
      <c r="AL90" s="1"/>
    </row>
    <row r="91" spans="1:38" ht="16.5" customHeight="1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AE91" s="1"/>
      <c r="AF91" s="1"/>
      <c r="AG91" s="1"/>
      <c r="AH91" s="1"/>
      <c r="AI91" s="1"/>
      <c r="AJ91" s="1"/>
      <c r="AK91" s="1"/>
      <c r="AL91" s="1"/>
    </row>
    <row r="92" spans="1:38" ht="16.5" customHeight="1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AE92" s="1"/>
      <c r="AF92" s="1"/>
      <c r="AG92" s="1"/>
      <c r="AH92" s="1"/>
      <c r="AI92" s="1"/>
      <c r="AJ92" s="1"/>
      <c r="AK92" s="1"/>
      <c r="AL92" s="1"/>
    </row>
    <row r="93" spans="1:38" ht="16.5" customHeight="1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AE93" s="1"/>
      <c r="AF93" s="1"/>
      <c r="AG93" s="1"/>
      <c r="AH93" s="1"/>
      <c r="AI93" s="1"/>
      <c r="AJ93" s="1"/>
      <c r="AK93" s="1"/>
      <c r="AL93" s="1"/>
    </row>
    <row r="94" spans="1:38" ht="16.5" customHeight="1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AE94" s="1"/>
      <c r="AF94" s="1"/>
      <c r="AG94" s="1"/>
      <c r="AH94" s="1"/>
      <c r="AI94" s="1"/>
      <c r="AJ94" s="1"/>
      <c r="AK94" s="1"/>
      <c r="AL94" s="1"/>
    </row>
    <row r="95" spans="1:38" ht="16.5" customHeight="1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AE95" s="1"/>
      <c r="AF95" s="1"/>
      <c r="AG95" s="1"/>
      <c r="AH95" s="1"/>
      <c r="AI95" s="1"/>
      <c r="AJ95" s="1"/>
      <c r="AK95" s="1"/>
      <c r="AL95" s="1"/>
    </row>
    <row r="96" spans="1:38" ht="16.5" customHeight="1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AE96" s="1"/>
      <c r="AF96" s="1"/>
      <c r="AG96" s="1"/>
      <c r="AH96" s="1"/>
      <c r="AI96" s="1"/>
      <c r="AJ96" s="1"/>
      <c r="AK96" s="1"/>
      <c r="AL96" s="1"/>
    </row>
    <row r="97" spans="1:38" ht="16.5" customHeight="1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AE97" s="1"/>
      <c r="AF97" s="1"/>
      <c r="AG97" s="1"/>
      <c r="AH97" s="1"/>
      <c r="AI97" s="1"/>
      <c r="AJ97" s="1"/>
      <c r="AK97" s="1"/>
      <c r="AL97" s="1"/>
    </row>
    <row r="98" spans="1:38" ht="16.5" customHeight="1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AE98" s="1"/>
      <c r="AF98" s="1"/>
      <c r="AG98" s="1"/>
      <c r="AH98" s="1"/>
      <c r="AI98" s="1"/>
      <c r="AJ98" s="1"/>
      <c r="AK98" s="1"/>
      <c r="AL98" s="1"/>
    </row>
    <row r="99" spans="1:38" ht="16.5" customHeight="1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AE99" s="1"/>
      <c r="AF99" s="1"/>
      <c r="AG99" s="1"/>
      <c r="AH99" s="1"/>
      <c r="AI99" s="1"/>
      <c r="AJ99" s="1"/>
      <c r="AK99" s="1"/>
      <c r="AL99" s="1"/>
    </row>
    <row r="100" spans="1:38" ht="16.5" customHeight="1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AE100" s="1"/>
      <c r="AF100" s="1"/>
      <c r="AG100" s="1"/>
      <c r="AH100" s="1"/>
      <c r="AI100" s="1"/>
      <c r="AJ100" s="1"/>
      <c r="AK100" s="1"/>
      <c r="AL100" s="1"/>
    </row>
  </sheetData>
  <mergeCells count="291">
    <mergeCell ref="U26:Y26"/>
    <mergeCell ref="S24:T24"/>
    <mergeCell ref="A16:B17"/>
    <mergeCell ref="A14:C14"/>
    <mergeCell ref="A23:B23"/>
    <mergeCell ref="A22:B22"/>
    <mergeCell ref="A1:R2"/>
    <mergeCell ref="T1:V1"/>
    <mergeCell ref="W1:Y1"/>
    <mergeCell ref="T2:V3"/>
    <mergeCell ref="W2:Y3"/>
    <mergeCell ref="S1:S3"/>
    <mergeCell ref="A18:B18"/>
    <mergeCell ref="C18:D18"/>
    <mergeCell ref="E18:F18"/>
    <mergeCell ref="A15:Y15"/>
    <mergeCell ref="C16:D17"/>
    <mergeCell ref="R13:U13"/>
    <mergeCell ref="O12:Q12"/>
    <mergeCell ref="R12:U12"/>
    <mergeCell ref="E13:F13"/>
    <mergeCell ref="F12:G12"/>
    <mergeCell ref="K13:M13"/>
    <mergeCell ref="K12:M12"/>
    <mergeCell ref="A27:D27"/>
    <mergeCell ref="A26:D26"/>
    <mergeCell ref="A24:B24"/>
    <mergeCell ref="M19:N19"/>
    <mergeCell ref="O19:P19"/>
    <mergeCell ref="M27:P27"/>
    <mergeCell ref="Q27:T27"/>
    <mergeCell ref="M26:P26"/>
    <mergeCell ref="Q26:T26"/>
    <mergeCell ref="A20:B20"/>
    <mergeCell ref="A21:B21"/>
    <mergeCell ref="A19:B19"/>
    <mergeCell ref="C20:D20"/>
    <mergeCell ref="C19:D19"/>
    <mergeCell ref="O24:P24"/>
    <mergeCell ref="Q24:R24"/>
    <mergeCell ref="I24:J24"/>
    <mergeCell ref="K24:L24"/>
    <mergeCell ref="M24:N24"/>
    <mergeCell ref="E26:H26"/>
    <mergeCell ref="E27:H27"/>
    <mergeCell ref="E24:H24"/>
    <mergeCell ref="G23:H23"/>
    <mergeCell ref="G22:H22"/>
    <mergeCell ref="G18:H18"/>
    <mergeCell ref="K18:L18"/>
    <mergeCell ref="U48:V49"/>
    <mergeCell ref="W48:Y49"/>
    <mergeCell ref="E47:H47"/>
    <mergeCell ref="I47:L47"/>
    <mergeCell ref="M47:N47"/>
    <mergeCell ref="B47:D47"/>
    <mergeCell ref="M42:N42"/>
    <mergeCell ref="O42:P42"/>
    <mergeCell ref="U42:Y42"/>
    <mergeCell ref="E42:H42"/>
    <mergeCell ref="B42:D42"/>
    <mergeCell ref="I44:L44"/>
    <mergeCell ref="I43:L43"/>
    <mergeCell ref="I42:L42"/>
    <mergeCell ref="Q42:T42"/>
    <mergeCell ref="U46:Y46"/>
    <mergeCell ref="U47:Y47"/>
    <mergeCell ref="Q46:T46"/>
    <mergeCell ref="M46:N46"/>
    <mergeCell ref="O46:P46"/>
    <mergeCell ref="U45:Y45"/>
    <mergeCell ref="I46:L46"/>
    <mergeCell ref="I37:L37"/>
    <mergeCell ref="M37:N37"/>
    <mergeCell ref="O37:P37"/>
    <mergeCell ref="Q37:T37"/>
    <mergeCell ref="I41:L41"/>
    <mergeCell ref="M41:N41"/>
    <mergeCell ref="O41:P41"/>
    <mergeCell ref="Q41:T41"/>
    <mergeCell ref="I40:L40"/>
    <mergeCell ref="O47:P47"/>
    <mergeCell ref="Q47:T47"/>
    <mergeCell ref="Q36:T36"/>
    <mergeCell ref="Q40:T40"/>
    <mergeCell ref="U40:Y40"/>
    <mergeCell ref="U41:Y41"/>
    <mergeCell ref="U38:Y38"/>
    <mergeCell ref="U39:Y39"/>
    <mergeCell ref="U37:Y37"/>
    <mergeCell ref="Q39:T39"/>
    <mergeCell ref="O40:P40"/>
    <mergeCell ref="U44:Y44"/>
    <mergeCell ref="U43:Y43"/>
    <mergeCell ref="E40:H40"/>
    <mergeCell ref="E39:H39"/>
    <mergeCell ref="E41:H41"/>
    <mergeCell ref="B41:D41"/>
    <mergeCell ref="B40:D40"/>
    <mergeCell ref="B39:D39"/>
    <mergeCell ref="B38:D38"/>
    <mergeCell ref="B37:D37"/>
    <mergeCell ref="E38:H38"/>
    <mergeCell ref="E37:H37"/>
    <mergeCell ref="E46:H46"/>
    <mergeCell ref="E45:H45"/>
    <mergeCell ref="E44:H44"/>
    <mergeCell ref="B46:D46"/>
    <mergeCell ref="B45:D45"/>
    <mergeCell ref="B44:D44"/>
    <mergeCell ref="B43:D43"/>
    <mergeCell ref="O38:P38"/>
    <mergeCell ref="Q38:T38"/>
    <mergeCell ref="I45:L45"/>
    <mergeCell ref="I39:L39"/>
    <mergeCell ref="M39:N39"/>
    <mergeCell ref="M40:N40"/>
    <mergeCell ref="Q45:T45"/>
    <mergeCell ref="Q44:T44"/>
    <mergeCell ref="E43:H43"/>
    <mergeCell ref="I38:L38"/>
    <mergeCell ref="M38:N38"/>
    <mergeCell ref="O39:P39"/>
    <mergeCell ref="M44:N44"/>
    <mergeCell ref="O44:P44"/>
    <mergeCell ref="M43:N43"/>
    <mergeCell ref="O43:P43"/>
    <mergeCell ref="Q43:T43"/>
    <mergeCell ref="I36:L36"/>
    <mergeCell ref="M36:N36"/>
    <mergeCell ref="O36:P36"/>
    <mergeCell ref="I26:J26"/>
    <mergeCell ref="K26:L26"/>
    <mergeCell ref="O22:P22"/>
    <mergeCell ref="Q22:R22"/>
    <mergeCell ref="B35:D35"/>
    <mergeCell ref="B34:D34"/>
    <mergeCell ref="B31:D31"/>
    <mergeCell ref="B30:D30"/>
    <mergeCell ref="O35:P35"/>
    <mergeCell ref="B29:D29"/>
    <mergeCell ref="E30:H30"/>
    <mergeCell ref="E29:H29"/>
    <mergeCell ref="B36:D36"/>
    <mergeCell ref="E36:H36"/>
    <mergeCell ref="E35:H35"/>
    <mergeCell ref="E34:H34"/>
    <mergeCell ref="E33:H33"/>
    <mergeCell ref="E31:H31"/>
    <mergeCell ref="E32:H32"/>
    <mergeCell ref="B33:D33"/>
    <mergeCell ref="B32:D32"/>
    <mergeCell ref="M45:N45"/>
    <mergeCell ref="O45:P45"/>
    <mergeCell ref="U36:Y36"/>
    <mergeCell ref="E10:F10"/>
    <mergeCell ref="D11:E11"/>
    <mergeCell ref="C7:D7"/>
    <mergeCell ref="E8:F8"/>
    <mergeCell ref="F9:G9"/>
    <mergeCell ref="E19:F19"/>
    <mergeCell ref="G19:H19"/>
    <mergeCell ref="G17:H17"/>
    <mergeCell ref="E16:H16"/>
    <mergeCell ref="E17:F17"/>
    <mergeCell ref="E21:F21"/>
    <mergeCell ref="G21:H21"/>
    <mergeCell ref="C21:D21"/>
    <mergeCell ref="E23:F23"/>
    <mergeCell ref="E22:F22"/>
    <mergeCell ref="C24:D24"/>
    <mergeCell ref="C23:D23"/>
    <mergeCell ref="C22:D22"/>
    <mergeCell ref="G20:H20"/>
    <mergeCell ref="E20:F20"/>
    <mergeCell ref="K27:L27"/>
    <mergeCell ref="U27:Y27"/>
    <mergeCell ref="U34:Y34"/>
    <mergeCell ref="I27:J27"/>
    <mergeCell ref="I35:L35"/>
    <mergeCell ref="I30:L30"/>
    <mergeCell ref="M30:N30"/>
    <mergeCell ref="O30:P30"/>
    <mergeCell ref="I31:L31"/>
    <mergeCell ref="M31:N31"/>
    <mergeCell ref="O31:P31"/>
    <mergeCell ref="Q31:T31"/>
    <mergeCell ref="Q30:T30"/>
    <mergeCell ref="I33:L33"/>
    <mergeCell ref="M33:N33"/>
    <mergeCell ref="I32:L32"/>
    <mergeCell ref="M32:N32"/>
    <mergeCell ref="O32:P32"/>
    <mergeCell ref="Q32:T32"/>
    <mergeCell ref="M29:N29"/>
    <mergeCell ref="O29:P29"/>
    <mergeCell ref="I29:L29"/>
    <mergeCell ref="Q29:T29"/>
    <mergeCell ref="U29:Y29"/>
    <mergeCell ref="M35:N35"/>
    <mergeCell ref="U35:Y35"/>
    <mergeCell ref="Q35:T35"/>
    <mergeCell ref="O33:P33"/>
    <mergeCell ref="Q33:T33"/>
    <mergeCell ref="I34:L34"/>
    <mergeCell ref="M34:N34"/>
    <mergeCell ref="O34:P34"/>
    <mergeCell ref="Q34:T34"/>
    <mergeCell ref="U32:Y32"/>
    <mergeCell ref="U33:Y33"/>
    <mergeCell ref="U31:Y31"/>
    <mergeCell ref="U30:Y30"/>
    <mergeCell ref="AF25:AG25"/>
    <mergeCell ref="AE25:AE26"/>
    <mergeCell ref="I16:J17"/>
    <mergeCell ref="I23:J23"/>
    <mergeCell ref="M23:N23"/>
    <mergeCell ref="O23:P23"/>
    <mergeCell ref="Q23:R23"/>
    <mergeCell ref="S23:T23"/>
    <mergeCell ref="O21:P21"/>
    <mergeCell ref="Q21:R21"/>
    <mergeCell ref="K16:L17"/>
    <mergeCell ref="M16:N17"/>
    <mergeCell ref="O16:P17"/>
    <mergeCell ref="Q19:R19"/>
    <mergeCell ref="Q18:R18"/>
    <mergeCell ref="Q16:R17"/>
    <mergeCell ref="S16:T17"/>
    <mergeCell ref="K20:L20"/>
    <mergeCell ref="M21:N21"/>
    <mergeCell ref="K21:L21"/>
    <mergeCell ref="M20:N20"/>
    <mergeCell ref="K23:L23"/>
    <mergeCell ref="Z16:AB19"/>
    <mergeCell ref="X18:Y18"/>
    <mergeCell ref="AE15:AF16"/>
    <mergeCell ref="AF3:AH4"/>
    <mergeCell ref="AI3:AJ3"/>
    <mergeCell ref="AK3:AL4"/>
    <mergeCell ref="AI4:AJ4"/>
    <mergeCell ref="AK12:AR12"/>
    <mergeCell ref="V12:Y12"/>
    <mergeCell ref="V7:X7"/>
    <mergeCell ref="O10:U10"/>
    <mergeCell ref="O11:Q11"/>
    <mergeCell ref="R11:U11"/>
    <mergeCell ref="K10:M10"/>
    <mergeCell ref="K11:M11"/>
    <mergeCell ref="U24:W24"/>
    <mergeCell ref="X24:Y24"/>
    <mergeCell ref="U23:W23"/>
    <mergeCell ref="X23:Y23"/>
    <mergeCell ref="X22:Y22"/>
    <mergeCell ref="X20:Y20"/>
    <mergeCell ref="X21:Y21"/>
    <mergeCell ref="U21:W21"/>
    <mergeCell ref="U19:W19"/>
    <mergeCell ref="U20:W20"/>
    <mergeCell ref="S21:T21"/>
    <mergeCell ref="S20:T20"/>
    <mergeCell ref="Q20:R20"/>
    <mergeCell ref="S19:T19"/>
    <mergeCell ref="O20:P20"/>
    <mergeCell ref="U16:W17"/>
    <mergeCell ref="X16:Y17"/>
    <mergeCell ref="X19:Y19"/>
    <mergeCell ref="I7:K9"/>
    <mergeCell ref="L7:N9"/>
    <mergeCell ref="O9:S9"/>
    <mergeCell ref="T9:U9"/>
    <mergeCell ref="U22:W22"/>
    <mergeCell ref="I4:K6"/>
    <mergeCell ref="L4:N6"/>
    <mergeCell ref="S4:T4"/>
    <mergeCell ref="S5:T5"/>
    <mergeCell ref="S6:T6"/>
    <mergeCell ref="K14:M14"/>
    <mergeCell ref="U18:W18"/>
    <mergeCell ref="I18:J18"/>
    <mergeCell ref="M18:N18"/>
    <mergeCell ref="O18:P18"/>
    <mergeCell ref="S18:T18"/>
    <mergeCell ref="I20:J20"/>
    <mergeCell ref="I22:J22"/>
    <mergeCell ref="I21:J21"/>
    <mergeCell ref="K22:L22"/>
    <mergeCell ref="M22:N22"/>
    <mergeCell ref="I19:J19"/>
    <mergeCell ref="K19:L19"/>
    <mergeCell ref="S22:T22"/>
  </mergeCells>
  <phoneticPr fontId="58" type="noConversion"/>
  <printOptions horizontalCentered="1"/>
  <pageMargins left="0" right="0" top="0" bottom="0" header="0" footer="0"/>
  <pageSetup paperSize="9" fitToWidth="0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T100"/>
  <sheetViews>
    <sheetView workbookViewId="0"/>
  </sheetViews>
  <sheetFormatPr defaultColWidth="14.375" defaultRowHeight="15" customHeight="1"/>
  <cols>
    <col min="1" max="1" width="21.875" customWidth="1"/>
    <col min="2" max="2" width="5.125" customWidth="1"/>
    <col min="3" max="16" width="7.625" customWidth="1"/>
    <col min="17" max="17" width="10" customWidth="1"/>
    <col min="18" max="18" width="9.75" customWidth="1"/>
    <col min="19" max="20" width="8.75" customWidth="1"/>
  </cols>
  <sheetData>
    <row r="1" spans="1:20" ht="30" customHeight="1">
      <c r="A1" s="177" t="s">
        <v>65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9"/>
      <c r="O1" s="179"/>
      <c r="P1" s="180"/>
      <c r="Q1" s="652" t="s">
        <v>324</v>
      </c>
      <c r="R1" s="654">
        <f>(22.4/18*P7*100/((L10*(273/(273+L8))*((L11+L9)/760))+(22.4/18*P7)))</f>
        <v>1.0496607777805389</v>
      </c>
    </row>
    <row r="2" spans="1:20" ht="30" customHeight="1">
      <c r="A2" s="662" t="s">
        <v>66</v>
      </c>
      <c r="B2" s="663" t="s">
        <v>134</v>
      </c>
      <c r="C2" s="2"/>
      <c r="D2" s="2"/>
      <c r="E2" s="2"/>
      <c r="F2" s="2"/>
      <c r="G2" s="672">
        <v>22.4</v>
      </c>
      <c r="H2" s="482"/>
      <c r="I2" s="510" t="s">
        <v>42</v>
      </c>
      <c r="J2" s="2"/>
      <c r="K2" s="2"/>
      <c r="L2" s="2"/>
      <c r="M2" s="2"/>
      <c r="N2" s="1"/>
      <c r="O2" s="1"/>
      <c r="P2" s="182"/>
      <c r="Q2" s="653"/>
      <c r="R2" s="655"/>
    </row>
    <row r="3" spans="1:20" ht="30" customHeight="1">
      <c r="A3" s="479"/>
      <c r="B3" s="424"/>
      <c r="C3" s="181"/>
      <c r="D3" s="181"/>
      <c r="E3" s="181"/>
      <c r="F3" s="181"/>
      <c r="G3" s="672">
        <v>18</v>
      </c>
      <c r="H3" s="482"/>
      <c r="I3" s="482"/>
      <c r="J3" s="181"/>
      <c r="K3" s="181"/>
      <c r="L3" s="181"/>
      <c r="M3" s="181"/>
      <c r="N3" s="183"/>
      <c r="O3" s="663" t="s">
        <v>325</v>
      </c>
      <c r="P3" s="679">
        <v>100</v>
      </c>
      <c r="Q3" s="653"/>
      <c r="R3" s="655"/>
    </row>
    <row r="4" spans="1:20" ht="30" customHeight="1">
      <c r="A4" s="479"/>
      <c r="B4" s="424"/>
      <c r="C4" s="659" t="s">
        <v>58</v>
      </c>
      <c r="D4" s="659" t="s">
        <v>325</v>
      </c>
      <c r="E4" s="660">
        <v>273</v>
      </c>
      <c r="F4" s="572"/>
      <c r="G4" s="572"/>
      <c r="H4" s="510" t="s">
        <v>325</v>
      </c>
      <c r="I4" s="185" t="s">
        <v>18</v>
      </c>
      <c r="J4" s="186" t="s">
        <v>326</v>
      </c>
      <c r="K4" s="185" t="s">
        <v>52</v>
      </c>
      <c r="L4" s="663" t="s">
        <v>326</v>
      </c>
      <c r="M4" s="185">
        <v>22.4</v>
      </c>
      <c r="N4" s="510" t="s">
        <v>42</v>
      </c>
      <c r="O4" s="424"/>
      <c r="P4" s="604"/>
      <c r="Q4" s="653"/>
      <c r="R4" s="655"/>
    </row>
    <row r="5" spans="1:20" ht="30" customHeight="1">
      <c r="A5" s="479"/>
      <c r="B5" s="424"/>
      <c r="C5" s="424"/>
      <c r="D5" s="424"/>
      <c r="E5" s="2">
        <v>273</v>
      </c>
      <c r="F5" s="38" t="s">
        <v>326</v>
      </c>
      <c r="G5" s="2" t="s">
        <v>46</v>
      </c>
      <c r="H5" s="424"/>
      <c r="I5" s="510">
        <v>760</v>
      </c>
      <c r="J5" s="424"/>
      <c r="K5" s="424"/>
      <c r="L5" s="424"/>
      <c r="M5" s="2">
        <v>18</v>
      </c>
      <c r="N5" s="424"/>
      <c r="O5" s="1"/>
      <c r="P5" s="182"/>
      <c r="Q5" s="653"/>
      <c r="R5" s="655"/>
    </row>
    <row r="6" spans="1:20" ht="30" customHeight="1">
      <c r="A6" s="187"/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3"/>
      <c r="P6" s="188"/>
      <c r="Q6" s="653"/>
      <c r="R6" s="655"/>
    </row>
    <row r="7" spans="1:20" ht="30" customHeight="1">
      <c r="A7" s="54" t="s">
        <v>42</v>
      </c>
      <c r="B7" s="2" t="s">
        <v>132</v>
      </c>
      <c r="C7" s="491" t="s">
        <v>41</v>
      </c>
      <c r="D7" s="424"/>
      <c r="E7" s="424"/>
      <c r="F7" s="424"/>
      <c r="G7" s="424"/>
      <c r="H7" s="424"/>
      <c r="I7" s="424"/>
      <c r="J7" s="604"/>
      <c r="K7" s="189" t="s">
        <v>327</v>
      </c>
      <c r="L7" s="190">
        <v>223.69</v>
      </c>
      <c r="M7" s="191" t="s">
        <v>328</v>
      </c>
      <c r="N7" s="192">
        <v>223.61</v>
      </c>
      <c r="O7" s="191" t="s">
        <v>42</v>
      </c>
      <c r="P7" s="193">
        <f>L7-N7</f>
        <v>7.9999999999984084E-2</v>
      </c>
      <c r="Q7" s="653"/>
      <c r="R7" s="655"/>
    </row>
    <row r="8" spans="1:20" ht="30" customHeight="1">
      <c r="A8" s="54" t="s">
        <v>46</v>
      </c>
      <c r="B8" s="2" t="s">
        <v>132</v>
      </c>
      <c r="C8" s="491" t="s">
        <v>45</v>
      </c>
      <c r="D8" s="424"/>
      <c r="E8" s="424"/>
      <c r="F8" s="424"/>
      <c r="G8" s="424"/>
      <c r="H8" s="424"/>
      <c r="I8" s="424"/>
      <c r="J8" s="604"/>
      <c r="K8" s="194" t="s">
        <v>46</v>
      </c>
      <c r="L8" s="668">
        <f>기록부!I27</f>
        <v>19</v>
      </c>
      <c r="M8" s="511"/>
      <c r="N8" s="511"/>
      <c r="O8" s="511"/>
      <c r="P8" s="526"/>
      <c r="Q8" s="653"/>
      <c r="R8" s="655"/>
    </row>
    <row r="9" spans="1:20" ht="30" customHeight="1">
      <c r="A9" s="54" t="s">
        <v>52</v>
      </c>
      <c r="B9" s="2" t="s">
        <v>132</v>
      </c>
      <c r="C9" s="491" t="s">
        <v>51</v>
      </c>
      <c r="D9" s="424"/>
      <c r="E9" s="424"/>
      <c r="F9" s="424"/>
      <c r="G9" s="424"/>
      <c r="H9" s="424"/>
      <c r="I9" s="424"/>
      <c r="J9" s="604"/>
      <c r="K9" s="194" t="s">
        <v>52</v>
      </c>
      <c r="L9" s="667">
        <f>ROUND(40/13.6,1)</f>
        <v>2.9</v>
      </c>
      <c r="M9" s="511"/>
      <c r="N9" s="511"/>
      <c r="O9" s="511"/>
      <c r="P9" s="526"/>
      <c r="Q9" s="653"/>
      <c r="R9" s="655"/>
    </row>
    <row r="10" spans="1:20" ht="30" customHeight="1">
      <c r="A10" s="54" t="s">
        <v>58</v>
      </c>
      <c r="B10" s="2" t="s">
        <v>132</v>
      </c>
      <c r="C10" s="491" t="s">
        <v>57</v>
      </c>
      <c r="D10" s="424"/>
      <c r="E10" s="424"/>
      <c r="F10" s="424"/>
      <c r="G10" s="424"/>
      <c r="H10" s="424"/>
      <c r="I10" s="424"/>
      <c r="J10" s="604"/>
      <c r="K10" s="194" t="s">
        <v>58</v>
      </c>
      <c r="L10" s="680">
        <f>기록부!M27</f>
        <v>10</v>
      </c>
      <c r="M10" s="511"/>
      <c r="N10" s="511"/>
      <c r="O10" s="511"/>
      <c r="P10" s="526"/>
      <c r="Q10" s="653"/>
      <c r="R10" s="655"/>
    </row>
    <row r="11" spans="1:20" ht="30" customHeight="1">
      <c r="A11" s="187" t="s">
        <v>18</v>
      </c>
      <c r="B11" s="181" t="s">
        <v>132</v>
      </c>
      <c r="C11" s="661" t="s">
        <v>17</v>
      </c>
      <c r="D11" s="482"/>
      <c r="E11" s="482"/>
      <c r="F11" s="482"/>
      <c r="G11" s="482"/>
      <c r="H11" s="482"/>
      <c r="I11" s="482"/>
      <c r="J11" s="630"/>
      <c r="K11" s="195" t="s">
        <v>18</v>
      </c>
      <c r="L11" s="681">
        <f>기록부!S6</f>
        <v>760</v>
      </c>
      <c r="M11" s="523"/>
      <c r="N11" s="523"/>
      <c r="O11" s="523"/>
      <c r="P11" s="548"/>
      <c r="Q11" s="614"/>
      <c r="R11" s="656"/>
      <c r="S11" s="1" t="s">
        <v>329</v>
      </c>
    </row>
    <row r="12" spans="1:20" ht="30" customHeight="1">
      <c r="A12" s="196" t="s">
        <v>330</v>
      </c>
      <c r="B12" s="178"/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9"/>
      <c r="O12" s="179"/>
      <c r="P12" s="180"/>
      <c r="Q12" s="652" t="s">
        <v>331</v>
      </c>
      <c r="R12" s="686">
        <v>1.0213223317622142</v>
      </c>
      <c r="S12" s="1" t="s">
        <v>332</v>
      </c>
    </row>
    <row r="13" spans="1:20" ht="30" customHeight="1">
      <c r="A13" s="662" t="s">
        <v>72</v>
      </c>
      <c r="B13" s="663" t="s">
        <v>134</v>
      </c>
      <c r="C13" s="2">
        <v>1</v>
      </c>
      <c r="D13" s="510" t="s">
        <v>333</v>
      </c>
      <c r="E13" s="424"/>
      <c r="F13" s="424"/>
      <c r="G13" s="424"/>
      <c r="H13" s="424"/>
      <c r="I13" s="510" t="s">
        <v>325</v>
      </c>
      <c r="J13" s="181" t="s">
        <v>334</v>
      </c>
      <c r="K13" s="510" t="s">
        <v>326</v>
      </c>
      <c r="L13" s="510" t="s">
        <v>335</v>
      </c>
      <c r="M13" s="510" t="s">
        <v>325</v>
      </c>
      <c r="N13" s="2">
        <v>273</v>
      </c>
      <c r="O13" s="510" t="s">
        <v>325</v>
      </c>
      <c r="P13" s="184" t="s">
        <v>336</v>
      </c>
      <c r="Q13" s="653"/>
      <c r="R13" s="655"/>
      <c r="T13" s="1" t="s">
        <v>337</v>
      </c>
    </row>
    <row r="14" spans="1:20" ht="30" customHeight="1">
      <c r="A14" s="479"/>
      <c r="B14" s="424"/>
      <c r="C14" s="2" t="s">
        <v>338</v>
      </c>
      <c r="D14" s="424"/>
      <c r="E14" s="424"/>
      <c r="F14" s="424"/>
      <c r="G14" s="424"/>
      <c r="H14" s="424"/>
      <c r="I14" s="482"/>
      <c r="J14" s="178">
        <v>100</v>
      </c>
      <c r="K14" s="424"/>
      <c r="L14" s="424"/>
      <c r="M14" s="424"/>
      <c r="N14" s="2" t="s">
        <v>339</v>
      </c>
      <c r="O14" s="424"/>
      <c r="P14" s="184">
        <v>760</v>
      </c>
      <c r="Q14" s="653"/>
      <c r="R14" s="655"/>
      <c r="T14" s="1" t="s">
        <v>340</v>
      </c>
    </row>
    <row r="15" spans="1:20" ht="30" customHeight="1">
      <c r="A15" s="187"/>
      <c r="B15" s="181"/>
      <c r="C15" s="181"/>
      <c r="D15" s="181"/>
      <c r="E15" s="181"/>
      <c r="F15" s="181"/>
      <c r="G15" s="181"/>
      <c r="H15" s="181"/>
      <c r="I15" s="181"/>
      <c r="J15" s="181"/>
      <c r="K15" s="183"/>
      <c r="L15" s="181"/>
      <c r="M15" s="181"/>
      <c r="N15" s="181"/>
      <c r="O15" s="183"/>
      <c r="P15" s="188"/>
      <c r="Q15" s="653"/>
      <c r="R15" s="655"/>
      <c r="S15" s="1" t="s">
        <v>341</v>
      </c>
    </row>
    <row r="16" spans="1:20" ht="30" customHeight="1">
      <c r="A16" s="54" t="s">
        <v>66</v>
      </c>
      <c r="B16" s="2" t="s">
        <v>132</v>
      </c>
      <c r="C16" s="491" t="s">
        <v>65</v>
      </c>
      <c r="D16" s="424"/>
      <c r="E16" s="424"/>
      <c r="F16" s="424"/>
      <c r="G16" s="424"/>
      <c r="H16" s="424"/>
      <c r="I16" s="424"/>
      <c r="J16" s="604"/>
      <c r="K16" s="189" t="s">
        <v>66</v>
      </c>
      <c r="L16" s="682">
        <f>R1</f>
        <v>1.0496607777805389</v>
      </c>
      <c r="M16" s="500"/>
      <c r="N16" s="500"/>
      <c r="O16" s="500"/>
      <c r="P16" s="605"/>
      <c r="Q16" s="653"/>
      <c r="R16" s="655"/>
    </row>
    <row r="17" spans="1:18" ht="30" customHeight="1">
      <c r="A17" s="54" t="s">
        <v>18</v>
      </c>
      <c r="B17" s="2" t="s">
        <v>132</v>
      </c>
      <c r="C17" s="491" t="s">
        <v>342</v>
      </c>
      <c r="D17" s="424"/>
      <c r="E17" s="424"/>
      <c r="F17" s="424"/>
      <c r="G17" s="424"/>
      <c r="H17" s="424"/>
      <c r="I17" s="424"/>
      <c r="J17" s="604"/>
      <c r="K17" s="194" t="s">
        <v>18</v>
      </c>
      <c r="L17" s="683">
        <f>기록부!S6</f>
        <v>760</v>
      </c>
      <c r="M17" s="511"/>
      <c r="N17" s="511"/>
      <c r="O17" s="511"/>
      <c r="P17" s="526"/>
      <c r="Q17" s="653"/>
      <c r="R17" s="655"/>
    </row>
    <row r="18" spans="1:18" ht="30" customHeight="1">
      <c r="A18" s="54" t="s">
        <v>99</v>
      </c>
      <c r="B18" s="2" t="s">
        <v>132</v>
      </c>
      <c r="C18" s="491" t="s">
        <v>98</v>
      </c>
      <c r="D18" s="424"/>
      <c r="E18" s="424"/>
      <c r="F18" s="424"/>
      <c r="G18" s="424"/>
      <c r="H18" s="424"/>
      <c r="I18" s="424"/>
      <c r="J18" s="604"/>
      <c r="K18" s="194" t="s">
        <v>99</v>
      </c>
      <c r="L18" s="684">
        <f>기록부!I24/13.6</f>
        <v>8.0882352941176475E-2</v>
      </c>
      <c r="M18" s="511"/>
      <c r="N18" s="511"/>
      <c r="O18" s="511"/>
      <c r="P18" s="526"/>
      <c r="Q18" s="653"/>
      <c r="R18" s="655"/>
    </row>
    <row r="19" spans="1:18" ht="30" customHeight="1">
      <c r="A19" s="187" t="s">
        <v>101</v>
      </c>
      <c r="B19" s="181" t="s">
        <v>132</v>
      </c>
      <c r="C19" s="661" t="s">
        <v>100</v>
      </c>
      <c r="D19" s="482"/>
      <c r="E19" s="482"/>
      <c r="F19" s="482"/>
      <c r="G19" s="482"/>
      <c r="H19" s="482"/>
      <c r="I19" s="482"/>
      <c r="J19" s="630"/>
      <c r="K19" s="195" t="s">
        <v>101</v>
      </c>
      <c r="L19" s="685">
        <f>기록부!C24</f>
        <v>78</v>
      </c>
      <c r="M19" s="523"/>
      <c r="N19" s="523"/>
      <c r="O19" s="523"/>
      <c r="P19" s="548"/>
      <c r="Q19" s="614"/>
      <c r="R19" s="656"/>
    </row>
    <row r="20" spans="1:18" ht="30" customHeight="1">
      <c r="A20" s="196" t="s">
        <v>343</v>
      </c>
      <c r="B20" s="178"/>
      <c r="C20" s="178"/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79"/>
      <c r="O20" s="179"/>
      <c r="P20" s="180"/>
      <c r="Q20" s="652" t="s">
        <v>344</v>
      </c>
      <c r="R20" s="654">
        <f>(L24*((2*L25*L26/L27)^(1/2)))</f>
        <v>2.3007857321069629</v>
      </c>
    </row>
    <row r="21" spans="1:18" ht="30" customHeight="1">
      <c r="A21" s="662" t="s">
        <v>32</v>
      </c>
      <c r="B21" s="663" t="s">
        <v>134</v>
      </c>
      <c r="C21" s="510" t="s">
        <v>82</v>
      </c>
      <c r="D21" s="669" t="s">
        <v>345</v>
      </c>
      <c r="E21" s="181">
        <v>2</v>
      </c>
      <c r="F21" s="181" t="s">
        <v>325</v>
      </c>
      <c r="G21" s="181" t="s">
        <v>83</v>
      </c>
      <c r="H21" s="181" t="s">
        <v>325</v>
      </c>
      <c r="I21" s="181" t="s">
        <v>84</v>
      </c>
      <c r="J21" s="2"/>
      <c r="K21" s="2"/>
      <c r="L21" s="2"/>
      <c r="M21" s="2"/>
      <c r="N21" s="1"/>
      <c r="O21" s="1"/>
      <c r="P21" s="182"/>
      <c r="Q21" s="653"/>
      <c r="R21" s="655"/>
    </row>
    <row r="22" spans="1:18" ht="30" customHeight="1">
      <c r="A22" s="479"/>
      <c r="B22" s="424"/>
      <c r="C22" s="424"/>
      <c r="D22" s="424"/>
      <c r="E22" s="659" t="s">
        <v>72</v>
      </c>
      <c r="F22" s="568"/>
      <c r="G22" s="568"/>
      <c r="H22" s="568"/>
      <c r="I22" s="568"/>
      <c r="J22" s="1"/>
      <c r="K22" s="1"/>
      <c r="L22" s="2"/>
      <c r="M22" s="2"/>
      <c r="N22" s="2"/>
      <c r="O22" s="1"/>
      <c r="P22" s="182"/>
      <c r="Q22" s="653"/>
      <c r="R22" s="655"/>
    </row>
    <row r="23" spans="1:18" ht="30" customHeight="1">
      <c r="A23" s="187"/>
      <c r="B23" s="181"/>
      <c r="C23" s="181"/>
      <c r="D23" s="181"/>
      <c r="E23" s="181"/>
      <c r="F23" s="181"/>
      <c r="G23" s="181"/>
      <c r="H23" s="181"/>
      <c r="I23" s="181"/>
      <c r="J23" s="181"/>
      <c r="K23" s="183"/>
      <c r="L23" s="181"/>
      <c r="M23" s="181"/>
      <c r="N23" s="181"/>
      <c r="O23" s="183"/>
      <c r="P23" s="188"/>
      <c r="Q23" s="653"/>
      <c r="R23" s="655"/>
    </row>
    <row r="24" spans="1:18" ht="30" customHeight="1">
      <c r="A24" s="54" t="s">
        <v>82</v>
      </c>
      <c r="B24" s="2" t="s">
        <v>132</v>
      </c>
      <c r="C24" s="491" t="s">
        <v>81</v>
      </c>
      <c r="D24" s="424"/>
      <c r="E24" s="424"/>
      <c r="F24" s="424"/>
      <c r="G24" s="424"/>
      <c r="H24" s="424"/>
      <c r="I24" s="424"/>
      <c r="J24" s="604"/>
      <c r="K24" s="189" t="s">
        <v>82</v>
      </c>
      <c r="L24" s="665">
        <f>기록부!S4</f>
        <v>0.83</v>
      </c>
      <c r="M24" s="500"/>
      <c r="N24" s="500"/>
      <c r="O24" s="500"/>
      <c r="P24" s="605"/>
      <c r="Q24" s="653"/>
      <c r="R24" s="655"/>
    </row>
    <row r="25" spans="1:18" ht="30" customHeight="1">
      <c r="A25" s="54" t="s">
        <v>83</v>
      </c>
      <c r="B25" s="2" t="s">
        <v>132</v>
      </c>
      <c r="C25" s="491" t="s">
        <v>346</v>
      </c>
      <c r="D25" s="424"/>
      <c r="E25" s="424"/>
      <c r="F25" s="424"/>
      <c r="G25" s="424"/>
      <c r="H25" s="424"/>
      <c r="I25" s="424"/>
      <c r="J25" s="604"/>
      <c r="K25" s="194" t="s">
        <v>83</v>
      </c>
      <c r="L25" s="664">
        <v>9.81</v>
      </c>
      <c r="M25" s="511"/>
      <c r="N25" s="511"/>
      <c r="O25" s="511"/>
      <c r="P25" s="526"/>
      <c r="Q25" s="653"/>
      <c r="R25" s="655"/>
    </row>
    <row r="26" spans="1:18" ht="30" customHeight="1">
      <c r="A26" s="54" t="s">
        <v>84</v>
      </c>
      <c r="B26" s="2" t="s">
        <v>132</v>
      </c>
      <c r="C26" s="491" t="s">
        <v>347</v>
      </c>
      <c r="D26" s="424"/>
      <c r="E26" s="424"/>
      <c r="F26" s="424"/>
      <c r="G26" s="424"/>
      <c r="H26" s="424"/>
      <c r="I26" s="424"/>
      <c r="J26" s="604"/>
      <c r="K26" s="194" t="s">
        <v>84</v>
      </c>
      <c r="L26" s="667">
        <f>기록부!K24</f>
        <v>0.4</v>
      </c>
      <c r="M26" s="511"/>
      <c r="N26" s="511"/>
      <c r="O26" s="511"/>
      <c r="P26" s="526"/>
      <c r="Q26" s="653"/>
      <c r="R26" s="655"/>
    </row>
    <row r="27" spans="1:18" ht="30" customHeight="1">
      <c r="A27" s="187" t="s">
        <v>72</v>
      </c>
      <c r="B27" s="181" t="s">
        <v>132</v>
      </c>
      <c r="C27" s="661" t="s">
        <v>95</v>
      </c>
      <c r="D27" s="482"/>
      <c r="E27" s="482"/>
      <c r="F27" s="482"/>
      <c r="G27" s="482"/>
      <c r="H27" s="482"/>
      <c r="I27" s="482"/>
      <c r="J27" s="630"/>
      <c r="K27" s="195" t="s">
        <v>72</v>
      </c>
      <c r="L27" s="658">
        <f>R12</f>
        <v>1.0213223317622142</v>
      </c>
      <c r="M27" s="523"/>
      <c r="N27" s="523"/>
      <c r="O27" s="523"/>
      <c r="P27" s="548"/>
      <c r="Q27" s="614"/>
      <c r="R27" s="656"/>
    </row>
    <row r="28" spans="1:18" ht="30" customHeight="1">
      <c r="A28" s="196" t="s">
        <v>348</v>
      </c>
      <c r="B28" s="178"/>
      <c r="C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9"/>
      <c r="O28" s="179"/>
      <c r="P28" s="180"/>
      <c r="Q28" s="652" t="s">
        <v>349</v>
      </c>
      <c r="R28" s="654">
        <f>(L32*L33*18/(100-L33)/22.4)</f>
        <v>3.4864181739518889</v>
      </c>
    </row>
    <row r="29" spans="1:18" ht="30" customHeight="1">
      <c r="A29" s="662" t="s">
        <v>10</v>
      </c>
      <c r="B29" s="663" t="s">
        <v>134</v>
      </c>
      <c r="C29" s="510" t="s">
        <v>77</v>
      </c>
      <c r="D29" s="510" t="s">
        <v>325</v>
      </c>
      <c r="E29" s="181"/>
      <c r="F29" s="181" t="s">
        <v>66</v>
      </c>
      <c r="G29" s="181"/>
      <c r="H29" s="510" t="s">
        <v>325</v>
      </c>
      <c r="I29" s="181">
        <v>18</v>
      </c>
      <c r="J29" s="2"/>
      <c r="K29" s="2"/>
      <c r="L29" s="2"/>
      <c r="M29" s="2"/>
      <c r="N29" s="1"/>
      <c r="O29" s="1"/>
      <c r="P29" s="182"/>
      <c r="Q29" s="653"/>
      <c r="R29" s="655"/>
    </row>
    <row r="30" spans="1:18" ht="30" customHeight="1">
      <c r="A30" s="479"/>
      <c r="B30" s="424"/>
      <c r="C30" s="424"/>
      <c r="D30" s="424"/>
      <c r="E30" s="2">
        <v>100</v>
      </c>
      <c r="F30" s="38" t="s">
        <v>15</v>
      </c>
      <c r="G30" s="2" t="s">
        <v>66</v>
      </c>
      <c r="H30" s="424"/>
      <c r="I30" s="2">
        <v>22.4</v>
      </c>
      <c r="J30" s="2"/>
      <c r="K30" s="1"/>
      <c r="L30" s="2"/>
      <c r="M30" s="2"/>
      <c r="N30" s="2"/>
      <c r="O30" s="1"/>
      <c r="P30" s="182"/>
      <c r="Q30" s="653"/>
      <c r="R30" s="655"/>
    </row>
    <row r="31" spans="1:18" ht="30" customHeight="1">
      <c r="A31" s="187"/>
      <c r="B31" s="181"/>
      <c r="C31" s="181"/>
      <c r="D31" s="181"/>
      <c r="E31" s="181"/>
      <c r="F31" s="181"/>
      <c r="G31" s="181"/>
      <c r="H31" s="181"/>
      <c r="I31" s="181"/>
      <c r="J31" s="181"/>
      <c r="K31" s="183"/>
      <c r="L31" s="181"/>
      <c r="M31" s="181"/>
      <c r="N31" s="181"/>
      <c r="O31" s="183"/>
      <c r="P31" s="188"/>
      <c r="Q31" s="653"/>
      <c r="R31" s="655"/>
    </row>
    <row r="32" spans="1:18" ht="30" customHeight="1">
      <c r="A32" s="54" t="s">
        <v>77</v>
      </c>
      <c r="B32" s="2" t="s">
        <v>132</v>
      </c>
      <c r="C32" s="491" t="s">
        <v>76</v>
      </c>
      <c r="D32" s="424"/>
      <c r="E32" s="424"/>
      <c r="F32" s="424"/>
      <c r="G32" s="424"/>
      <c r="H32" s="424"/>
      <c r="I32" s="424"/>
      <c r="J32" s="604"/>
      <c r="K32" s="189" t="s">
        <v>77</v>
      </c>
      <c r="L32" s="666">
        <f>기록부!O23</f>
        <v>409</v>
      </c>
      <c r="M32" s="500"/>
      <c r="N32" s="500"/>
      <c r="O32" s="500"/>
      <c r="P32" s="605"/>
      <c r="Q32" s="653"/>
      <c r="R32" s="655"/>
    </row>
    <row r="33" spans="1:18" ht="30" customHeight="1">
      <c r="A33" s="187" t="s">
        <v>66</v>
      </c>
      <c r="B33" s="181" t="s">
        <v>132</v>
      </c>
      <c r="C33" s="661" t="s">
        <v>79</v>
      </c>
      <c r="D33" s="482"/>
      <c r="E33" s="482"/>
      <c r="F33" s="482"/>
      <c r="G33" s="482"/>
      <c r="H33" s="482"/>
      <c r="I33" s="482"/>
      <c r="J33" s="630"/>
      <c r="K33" s="195" t="s">
        <v>66</v>
      </c>
      <c r="L33" s="658">
        <f>R1</f>
        <v>1.0496607777805389</v>
      </c>
      <c r="M33" s="523"/>
      <c r="N33" s="523"/>
      <c r="O33" s="523"/>
      <c r="P33" s="548"/>
      <c r="Q33" s="614"/>
      <c r="R33" s="656"/>
    </row>
    <row r="34" spans="1:18" ht="30" customHeight="1">
      <c r="A34" s="177" t="s">
        <v>350</v>
      </c>
      <c r="B34" s="178"/>
      <c r="C34" s="178"/>
      <c r="D34" s="178"/>
      <c r="E34" s="178"/>
      <c r="F34" s="178"/>
      <c r="G34" s="178"/>
      <c r="H34" s="178"/>
      <c r="I34" s="178"/>
      <c r="J34" s="178"/>
      <c r="K34" s="178"/>
      <c r="L34" s="178"/>
      <c r="M34" s="178"/>
      <c r="N34" s="179"/>
      <c r="O34" s="179"/>
      <c r="P34" s="179"/>
      <c r="Q34" s="652" t="s">
        <v>351</v>
      </c>
      <c r="R34" s="654">
        <f>L40*(0.00346*L41+L42/L43*(L44+L45/13.6))*1.667*10000/(L46*L47*L48*L49)</f>
        <v>98.187978413528313</v>
      </c>
    </row>
    <row r="35" spans="1:18" ht="30" customHeight="1">
      <c r="A35" s="197"/>
      <c r="B35" s="1"/>
      <c r="C35" s="510" t="s">
        <v>6</v>
      </c>
      <c r="D35" s="670" t="s">
        <v>352</v>
      </c>
      <c r="E35" s="671">
        <v>3.4599999999999995E-3</v>
      </c>
      <c r="F35" s="510" t="s">
        <v>10</v>
      </c>
      <c r="G35" s="663" t="s">
        <v>326</v>
      </c>
      <c r="H35" s="672" t="s">
        <v>12</v>
      </c>
      <c r="I35" s="482"/>
      <c r="J35" s="482"/>
      <c r="K35" s="482"/>
      <c r="L35" s="183"/>
      <c r="M35" s="491" t="s">
        <v>177</v>
      </c>
      <c r="N35" s="1"/>
      <c r="O35" s="1"/>
      <c r="P35" s="1"/>
      <c r="Q35" s="653"/>
      <c r="R35" s="655"/>
    </row>
    <row r="36" spans="1:18" ht="30" customHeight="1">
      <c r="A36" s="662" t="s">
        <v>38</v>
      </c>
      <c r="B36" s="1"/>
      <c r="C36" s="424"/>
      <c r="D36" s="424"/>
      <c r="E36" s="424"/>
      <c r="F36" s="424"/>
      <c r="G36" s="424"/>
      <c r="H36" s="659" t="s">
        <v>14</v>
      </c>
      <c r="I36" s="510" t="s">
        <v>325</v>
      </c>
      <c r="J36" s="510" t="s">
        <v>18</v>
      </c>
      <c r="K36" s="673" t="s">
        <v>326</v>
      </c>
      <c r="L36" s="181" t="s">
        <v>19</v>
      </c>
      <c r="M36" s="424"/>
      <c r="N36" s="1"/>
      <c r="O36" s="1"/>
      <c r="P36" s="1"/>
      <c r="Q36" s="653"/>
      <c r="R36" s="655"/>
    </row>
    <row r="37" spans="1:18" ht="30" customHeight="1">
      <c r="A37" s="479"/>
      <c r="B37" s="510" t="s">
        <v>134</v>
      </c>
      <c r="C37" s="183"/>
      <c r="D37" s="183"/>
      <c r="E37" s="183"/>
      <c r="F37" s="183"/>
      <c r="G37" s="183"/>
      <c r="H37" s="482"/>
      <c r="I37" s="482"/>
      <c r="J37" s="482"/>
      <c r="K37" s="482"/>
      <c r="L37" s="181">
        <v>13.6</v>
      </c>
      <c r="M37" s="510" t="s">
        <v>325</v>
      </c>
      <c r="N37" s="510">
        <v>1.667</v>
      </c>
      <c r="O37" s="510" t="s">
        <v>325</v>
      </c>
      <c r="P37" s="510">
        <v>10000</v>
      </c>
      <c r="Q37" s="653"/>
      <c r="R37" s="655"/>
    </row>
    <row r="38" spans="1:18" ht="30" customHeight="1">
      <c r="A38" s="479"/>
      <c r="B38" s="424"/>
      <c r="C38" s="1"/>
      <c r="D38" s="2" t="s">
        <v>22</v>
      </c>
      <c r="E38" s="38" t="s">
        <v>325</v>
      </c>
      <c r="F38" s="2" t="s">
        <v>27</v>
      </c>
      <c r="G38" s="38" t="s">
        <v>325</v>
      </c>
      <c r="H38" s="2" t="s">
        <v>32</v>
      </c>
      <c r="I38" s="38" t="s">
        <v>325</v>
      </c>
      <c r="J38" s="2" t="s">
        <v>35</v>
      </c>
      <c r="K38" s="1"/>
      <c r="L38" s="1"/>
      <c r="M38" s="424"/>
      <c r="N38" s="424"/>
      <c r="O38" s="424"/>
      <c r="P38" s="424"/>
      <c r="Q38" s="653"/>
      <c r="R38" s="655"/>
    </row>
    <row r="39" spans="1:18" ht="30" customHeight="1">
      <c r="A39" s="481"/>
      <c r="B39" s="181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1"/>
      <c r="O39" s="183"/>
      <c r="P39" s="183"/>
      <c r="Q39" s="653"/>
      <c r="R39" s="655"/>
    </row>
    <row r="40" spans="1:18" ht="30" customHeight="1">
      <c r="A40" s="53" t="s">
        <v>6</v>
      </c>
      <c r="B40" s="178" t="s">
        <v>132</v>
      </c>
      <c r="C40" s="677" t="s">
        <v>5</v>
      </c>
      <c r="D40" s="568"/>
      <c r="E40" s="568"/>
      <c r="F40" s="568"/>
      <c r="G40" s="568"/>
      <c r="H40" s="568"/>
      <c r="I40" s="568"/>
      <c r="J40" s="678"/>
      <c r="K40" s="198" t="s">
        <v>6</v>
      </c>
      <c r="L40" s="649">
        <f>273+기록부!C24</f>
        <v>351</v>
      </c>
      <c r="M40" s="529"/>
      <c r="N40" s="529"/>
      <c r="O40" s="529"/>
      <c r="P40" s="529"/>
      <c r="Q40" s="653"/>
      <c r="R40" s="655"/>
    </row>
    <row r="41" spans="1:18" ht="30" customHeight="1">
      <c r="A41" s="54" t="s">
        <v>10</v>
      </c>
      <c r="B41" s="2" t="s">
        <v>132</v>
      </c>
      <c r="C41" s="491" t="s">
        <v>9</v>
      </c>
      <c r="D41" s="424"/>
      <c r="E41" s="424"/>
      <c r="F41" s="424"/>
      <c r="G41" s="424"/>
      <c r="H41" s="424"/>
      <c r="I41" s="424"/>
      <c r="J41" s="604"/>
      <c r="K41" s="199" t="s">
        <v>10</v>
      </c>
      <c r="L41" s="648">
        <f>R28</f>
        <v>3.4864181739518889</v>
      </c>
      <c r="M41" s="511"/>
      <c r="N41" s="511"/>
      <c r="O41" s="511"/>
      <c r="P41" s="511"/>
      <c r="Q41" s="653"/>
      <c r="R41" s="655"/>
    </row>
    <row r="42" spans="1:18" ht="30" customHeight="1">
      <c r="A42" s="54" t="s">
        <v>12</v>
      </c>
      <c r="B42" s="2" t="s">
        <v>132</v>
      </c>
      <c r="C42" s="491" t="s">
        <v>353</v>
      </c>
      <c r="D42" s="424"/>
      <c r="E42" s="424"/>
      <c r="F42" s="424"/>
      <c r="G42" s="424"/>
      <c r="H42" s="424"/>
      <c r="I42" s="424"/>
      <c r="J42" s="604"/>
      <c r="K42" s="199" t="s">
        <v>12</v>
      </c>
      <c r="L42" s="674">
        <f>기록부!O23/1000</f>
        <v>0.40899999999999997</v>
      </c>
      <c r="M42" s="511"/>
      <c r="N42" s="511"/>
      <c r="O42" s="511"/>
      <c r="P42" s="511"/>
      <c r="Q42" s="653"/>
      <c r="R42" s="655"/>
    </row>
    <row r="43" spans="1:18" ht="30" customHeight="1">
      <c r="A43" s="54" t="s">
        <v>14</v>
      </c>
      <c r="B43" s="2" t="s">
        <v>132</v>
      </c>
      <c r="C43" s="491" t="s">
        <v>13</v>
      </c>
      <c r="D43" s="424"/>
      <c r="E43" s="424"/>
      <c r="F43" s="424"/>
      <c r="G43" s="424"/>
      <c r="H43" s="424"/>
      <c r="I43" s="424"/>
      <c r="J43" s="604"/>
      <c r="K43" s="199" t="s">
        <v>14</v>
      </c>
      <c r="L43" s="675">
        <f>273+기록부!E24</f>
        <v>291</v>
      </c>
      <c r="M43" s="511"/>
      <c r="N43" s="511"/>
      <c r="O43" s="511"/>
      <c r="P43" s="511"/>
      <c r="Q43" s="653"/>
      <c r="R43" s="655"/>
    </row>
    <row r="44" spans="1:18" ht="30" customHeight="1">
      <c r="A44" s="54" t="s">
        <v>18</v>
      </c>
      <c r="B44" s="2" t="s">
        <v>132</v>
      </c>
      <c r="C44" s="491" t="s">
        <v>17</v>
      </c>
      <c r="D44" s="424"/>
      <c r="E44" s="424"/>
      <c r="F44" s="424"/>
      <c r="G44" s="424"/>
      <c r="H44" s="424"/>
      <c r="I44" s="424"/>
      <c r="J44" s="604"/>
      <c r="K44" s="199" t="s">
        <v>18</v>
      </c>
      <c r="L44" s="676">
        <f>기록부!S6</f>
        <v>760</v>
      </c>
      <c r="M44" s="511"/>
      <c r="N44" s="511"/>
      <c r="O44" s="511"/>
      <c r="P44" s="511"/>
      <c r="Q44" s="653"/>
      <c r="R44" s="655"/>
    </row>
    <row r="45" spans="1:18" ht="30" customHeight="1">
      <c r="A45" s="54" t="s">
        <v>19</v>
      </c>
      <c r="B45" s="2" t="s">
        <v>132</v>
      </c>
      <c r="C45" s="491" t="s">
        <v>354</v>
      </c>
      <c r="D45" s="424"/>
      <c r="E45" s="424"/>
      <c r="F45" s="424"/>
      <c r="G45" s="424"/>
      <c r="H45" s="424"/>
      <c r="I45" s="424"/>
      <c r="J45" s="604"/>
      <c r="K45" s="200" t="s">
        <v>19</v>
      </c>
      <c r="L45" s="650">
        <f>기록부!M24</f>
        <v>10.5336</v>
      </c>
      <c r="M45" s="500"/>
      <c r="N45" s="500"/>
      <c r="O45" s="500"/>
      <c r="P45" s="500"/>
      <c r="Q45" s="653"/>
      <c r="R45" s="655"/>
    </row>
    <row r="46" spans="1:18" ht="30" customHeight="1">
      <c r="A46" s="54" t="s">
        <v>22</v>
      </c>
      <c r="B46" s="2" t="s">
        <v>132</v>
      </c>
      <c r="C46" s="491" t="s">
        <v>21</v>
      </c>
      <c r="D46" s="424"/>
      <c r="E46" s="424"/>
      <c r="F46" s="424"/>
      <c r="G46" s="424"/>
      <c r="H46" s="424"/>
      <c r="I46" s="424"/>
      <c r="J46" s="604"/>
      <c r="K46" s="199" t="s">
        <v>22</v>
      </c>
      <c r="L46" s="651">
        <f>760+(기록부!I24/13.6)</f>
        <v>760.08088235294122</v>
      </c>
      <c r="M46" s="511"/>
      <c r="N46" s="511"/>
      <c r="O46" s="511"/>
      <c r="P46" s="511"/>
      <c r="Q46" s="653"/>
      <c r="R46" s="655"/>
    </row>
    <row r="47" spans="1:18" ht="30" customHeight="1">
      <c r="A47" s="54" t="s">
        <v>27</v>
      </c>
      <c r="B47" s="2" t="s">
        <v>132</v>
      </c>
      <c r="C47" s="491" t="s">
        <v>26</v>
      </c>
      <c r="D47" s="424"/>
      <c r="E47" s="424"/>
      <c r="F47" s="424"/>
      <c r="G47" s="424"/>
      <c r="H47" s="424"/>
      <c r="I47" s="424"/>
      <c r="J47" s="604"/>
      <c r="K47" s="199" t="s">
        <v>27</v>
      </c>
      <c r="L47" s="667">
        <f>기록부!Q23</f>
        <v>40</v>
      </c>
      <c r="M47" s="511"/>
      <c r="N47" s="511"/>
      <c r="O47" s="511"/>
      <c r="P47" s="511"/>
      <c r="Q47" s="653"/>
      <c r="R47" s="655"/>
    </row>
    <row r="48" spans="1:18" ht="30" customHeight="1">
      <c r="A48" s="54" t="s">
        <v>32</v>
      </c>
      <c r="B48" s="2" t="s">
        <v>132</v>
      </c>
      <c r="C48" s="491" t="s">
        <v>31</v>
      </c>
      <c r="D48" s="424"/>
      <c r="E48" s="424"/>
      <c r="F48" s="424"/>
      <c r="G48" s="424"/>
      <c r="H48" s="424"/>
      <c r="I48" s="424"/>
      <c r="J48" s="604"/>
      <c r="K48" s="199" t="s">
        <v>32</v>
      </c>
      <c r="L48" s="648">
        <f>R20</f>
        <v>2.3007857321069629</v>
      </c>
      <c r="M48" s="511"/>
      <c r="N48" s="511"/>
      <c r="O48" s="511"/>
      <c r="P48" s="511"/>
      <c r="Q48" s="653"/>
      <c r="R48" s="655"/>
    </row>
    <row r="49" spans="1:18" ht="30" customHeight="1">
      <c r="A49" s="187" t="s">
        <v>35</v>
      </c>
      <c r="B49" s="181" t="s">
        <v>132</v>
      </c>
      <c r="C49" s="661" t="s">
        <v>355</v>
      </c>
      <c r="D49" s="482"/>
      <c r="E49" s="482"/>
      <c r="F49" s="482"/>
      <c r="G49" s="482"/>
      <c r="H49" s="482"/>
      <c r="I49" s="482"/>
      <c r="J49" s="630"/>
      <c r="K49" s="201" t="s">
        <v>35</v>
      </c>
      <c r="L49" s="657">
        <f>(3.14159265358979*기록부!E8*기록부!E8/4)</f>
        <v>0.92118486646906883</v>
      </c>
      <c r="M49" s="523"/>
      <c r="N49" s="523"/>
      <c r="O49" s="523"/>
      <c r="P49" s="523"/>
      <c r="Q49" s="614"/>
      <c r="R49" s="656"/>
    </row>
    <row r="50" spans="1:18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</sheetData>
  <mergeCells count="108">
    <mergeCell ref="C40:J40"/>
    <mergeCell ref="C41:J41"/>
    <mergeCell ref="N4:N5"/>
    <mergeCell ref="Q1:Q11"/>
    <mergeCell ref="R1:R11"/>
    <mergeCell ref="O3:O4"/>
    <mergeCell ref="P3:P4"/>
    <mergeCell ref="M13:M14"/>
    <mergeCell ref="O13:O14"/>
    <mergeCell ref="L9:P9"/>
    <mergeCell ref="L10:P10"/>
    <mergeCell ref="L11:P11"/>
    <mergeCell ref="L16:P16"/>
    <mergeCell ref="L17:P17"/>
    <mergeCell ref="L18:P18"/>
    <mergeCell ref="L19:P19"/>
    <mergeCell ref="R12:R19"/>
    <mergeCell ref="Q12:Q19"/>
    <mergeCell ref="L4:L5"/>
    <mergeCell ref="H4:H5"/>
    <mergeCell ref="C29:C30"/>
    <mergeCell ref="I2:I3"/>
    <mergeCell ref="G2:H2"/>
    <mergeCell ref="G3:H3"/>
    <mergeCell ref="C44:J44"/>
    <mergeCell ref="C48:J48"/>
    <mergeCell ref="C49:J49"/>
    <mergeCell ref="C45:J45"/>
    <mergeCell ref="C46:J46"/>
    <mergeCell ref="C47:J47"/>
    <mergeCell ref="L48:P48"/>
    <mergeCell ref="L47:P47"/>
    <mergeCell ref="C42:J42"/>
    <mergeCell ref="L42:P42"/>
    <mergeCell ref="C43:J43"/>
    <mergeCell ref="L43:P43"/>
    <mergeCell ref="L44:P44"/>
    <mergeCell ref="A36:A39"/>
    <mergeCell ref="B37:B38"/>
    <mergeCell ref="A13:A14"/>
    <mergeCell ref="B13:B14"/>
    <mergeCell ref="D29:D30"/>
    <mergeCell ref="C32:J32"/>
    <mergeCell ref="C35:C36"/>
    <mergeCell ref="D35:D36"/>
    <mergeCell ref="E35:E36"/>
    <mergeCell ref="H35:K35"/>
    <mergeCell ref="C33:J33"/>
    <mergeCell ref="F35:F36"/>
    <mergeCell ref="G35:G36"/>
    <mergeCell ref="H36:H37"/>
    <mergeCell ref="I36:I37"/>
    <mergeCell ref="J36:J37"/>
    <mergeCell ref="K36:K37"/>
    <mergeCell ref="A2:A5"/>
    <mergeCell ref="B2:B5"/>
    <mergeCell ref="L25:P25"/>
    <mergeCell ref="L24:P24"/>
    <mergeCell ref="L32:P32"/>
    <mergeCell ref="L26:P26"/>
    <mergeCell ref="L27:P27"/>
    <mergeCell ref="C7:J7"/>
    <mergeCell ref="C8:J8"/>
    <mergeCell ref="C9:J9"/>
    <mergeCell ref="C10:J10"/>
    <mergeCell ref="C11:J11"/>
    <mergeCell ref="L8:P8"/>
    <mergeCell ref="B21:B22"/>
    <mergeCell ref="A21:A22"/>
    <mergeCell ref="A29:A30"/>
    <mergeCell ref="B29:B30"/>
    <mergeCell ref="H29:H30"/>
    <mergeCell ref="C27:J27"/>
    <mergeCell ref="D21:D22"/>
    <mergeCell ref="C25:J25"/>
    <mergeCell ref="C26:J26"/>
    <mergeCell ref="C24:J24"/>
    <mergeCell ref="D4:D5"/>
    <mergeCell ref="C4:C5"/>
    <mergeCell ref="E4:G4"/>
    <mergeCell ref="I5:K5"/>
    <mergeCell ref="Q20:Q27"/>
    <mergeCell ref="R20:R27"/>
    <mergeCell ref="D13:H14"/>
    <mergeCell ref="L13:L14"/>
    <mergeCell ref="I13:I14"/>
    <mergeCell ref="K13:K14"/>
    <mergeCell ref="C16:J16"/>
    <mergeCell ref="C17:J17"/>
    <mergeCell ref="E22:I22"/>
    <mergeCell ref="C18:J18"/>
    <mergeCell ref="C19:J19"/>
    <mergeCell ref="C21:C22"/>
    <mergeCell ref="L41:P41"/>
    <mergeCell ref="L40:P40"/>
    <mergeCell ref="L45:P45"/>
    <mergeCell ref="L46:P46"/>
    <mergeCell ref="P37:P38"/>
    <mergeCell ref="Q34:Q49"/>
    <mergeCell ref="R34:R49"/>
    <mergeCell ref="L49:P49"/>
    <mergeCell ref="L33:P33"/>
    <mergeCell ref="N37:N38"/>
    <mergeCell ref="O37:O38"/>
    <mergeCell ref="M37:M38"/>
    <mergeCell ref="M35:M36"/>
    <mergeCell ref="Q28:Q33"/>
    <mergeCell ref="R28:R33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00"/>
  <sheetViews>
    <sheetView workbookViewId="0"/>
  </sheetViews>
  <sheetFormatPr defaultColWidth="14.375" defaultRowHeight="15" customHeight="1"/>
  <cols>
    <col min="1" max="23" width="3.625" customWidth="1"/>
  </cols>
  <sheetData>
    <row r="1" spans="1:23" ht="16.5" customHeight="1">
      <c r="A1" s="693" t="s">
        <v>356</v>
      </c>
      <c r="B1" s="484"/>
      <c r="C1" s="694" t="s">
        <v>357</v>
      </c>
      <c r="D1" s="513"/>
      <c r="E1" s="513"/>
      <c r="F1" s="513"/>
      <c r="G1" s="513"/>
      <c r="H1" s="513"/>
      <c r="I1" s="513"/>
      <c r="J1" s="513"/>
      <c r="K1" s="513"/>
      <c r="L1" s="202"/>
      <c r="M1" s="203"/>
      <c r="N1" s="203"/>
      <c r="O1" s="204"/>
      <c r="P1" s="695" t="s">
        <v>358</v>
      </c>
      <c r="Q1" s="513"/>
      <c r="R1" s="513"/>
      <c r="S1" s="513"/>
      <c r="T1" s="205" t="s">
        <v>134</v>
      </c>
      <c r="U1" s="696">
        <f>기록부!T8</f>
        <v>1.25</v>
      </c>
      <c r="V1" s="513"/>
      <c r="W1" s="204" t="s">
        <v>215</v>
      </c>
    </row>
    <row r="2" spans="1:23" ht="16.5" customHeight="1">
      <c r="A2" s="689" t="s">
        <v>358</v>
      </c>
      <c r="B2" s="477"/>
      <c r="C2" s="477"/>
      <c r="D2" s="478"/>
      <c r="E2" s="689" t="s">
        <v>359</v>
      </c>
      <c r="F2" s="478"/>
      <c r="G2" s="689" t="s">
        <v>360</v>
      </c>
      <c r="H2" s="478"/>
      <c r="I2" s="698" t="s">
        <v>361</v>
      </c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2"/>
    </row>
    <row r="3" spans="1:23" ht="16.5" customHeight="1">
      <c r="A3" s="514"/>
      <c r="B3" s="424"/>
      <c r="C3" s="424"/>
      <c r="D3" s="480"/>
      <c r="E3" s="514"/>
      <c r="F3" s="480"/>
      <c r="G3" s="514"/>
      <c r="H3" s="480"/>
      <c r="I3" s="698" t="s">
        <v>362</v>
      </c>
      <c r="J3" s="511"/>
      <c r="K3" s="511"/>
      <c r="L3" s="511"/>
      <c r="M3" s="511"/>
      <c r="N3" s="511"/>
      <c r="O3" s="511"/>
      <c r="P3" s="511"/>
      <c r="Q3" s="511"/>
      <c r="R3" s="511"/>
      <c r="S3" s="511"/>
      <c r="T3" s="511"/>
      <c r="U3" s="511"/>
      <c r="V3" s="511"/>
      <c r="W3" s="512"/>
    </row>
    <row r="4" spans="1:23" ht="16.5" customHeight="1">
      <c r="A4" s="690" t="s">
        <v>363</v>
      </c>
      <c r="B4" s="484"/>
      <c r="C4" s="484"/>
      <c r="D4" s="518"/>
      <c r="E4" s="690" t="s">
        <v>364</v>
      </c>
      <c r="F4" s="518"/>
      <c r="G4" s="690" t="s">
        <v>365</v>
      </c>
      <c r="H4" s="518"/>
      <c r="I4" s="691" t="s">
        <v>119</v>
      </c>
      <c r="J4" s="511"/>
      <c r="K4" s="512"/>
      <c r="L4" s="691" t="s">
        <v>120</v>
      </c>
      <c r="M4" s="511"/>
      <c r="N4" s="512"/>
      <c r="O4" s="691" t="s">
        <v>121</v>
      </c>
      <c r="P4" s="511"/>
      <c r="Q4" s="512"/>
      <c r="R4" s="697" t="s">
        <v>122</v>
      </c>
      <c r="S4" s="511"/>
      <c r="T4" s="512"/>
      <c r="U4" s="691" t="s">
        <v>123</v>
      </c>
      <c r="V4" s="511"/>
      <c r="W4" s="512"/>
    </row>
    <row r="5" spans="1:23" ht="16.5" customHeight="1">
      <c r="A5" s="689" t="s">
        <v>366</v>
      </c>
      <c r="B5" s="477"/>
      <c r="C5" s="477"/>
      <c r="D5" s="478"/>
      <c r="E5" s="692">
        <v>1</v>
      </c>
      <c r="F5" s="478"/>
      <c r="G5" s="689">
        <v>4</v>
      </c>
      <c r="H5" s="478"/>
      <c r="I5" s="688" t="s">
        <v>367</v>
      </c>
      <c r="J5" s="475"/>
      <c r="K5" s="336"/>
      <c r="L5" s="206"/>
      <c r="M5" s="206"/>
      <c r="N5" s="206"/>
      <c r="O5" s="206"/>
      <c r="P5" s="206"/>
      <c r="Q5" s="206"/>
      <c r="R5" s="206"/>
      <c r="S5" s="206"/>
      <c r="T5" s="206"/>
      <c r="U5" s="206"/>
      <c r="V5" s="206"/>
      <c r="W5" s="207"/>
    </row>
    <row r="6" spans="1:23" ht="16.5" customHeight="1">
      <c r="A6" s="559"/>
      <c r="B6" s="500"/>
      <c r="C6" s="500"/>
      <c r="D6" s="453"/>
      <c r="E6" s="559"/>
      <c r="F6" s="453"/>
      <c r="G6" s="559"/>
      <c r="H6" s="453"/>
      <c r="I6" s="687" t="str">
        <f>IF(U1&gt;1,"",((U1/2)-(0.707*(U1/2))))</f>
        <v/>
      </c>
      <c r="J6" s="484"/>
      <c r="K6" s="518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7"/>
    </row>
    <row r="7" spans="1:23" ht="16.5" customHeight="1">
      <c r="A7" s="689" t="s">
        <v>368</v>
      </c>
      <c r="B7" s="477"/>
      <c r="C7" s="477"/>
      <c r="D7" s="478"/>
      <c r="E7" s="689">
        <v>2</v>
      </c>
      <c r="F7" s="478"/>
      <c r="G7" s="689">
        <v>8</v>
      </c>
      <c r="H7" s="478"/>
      <c r="I7" s="688" t="s">
        <v>369</v>
      </c>
      <c r="J7" s="475"/>
      <c r="K7" s="336"/>
      <c r="L7" s="688" t="s">
        <v>370</v>
      </c>
      <c r="M7" s="475"/>
      <c r="N7" s="336"/>
      <c r="O7" s="206"/>
      <c r="P7" s="206"/>
      <c r="Q7" s="206"/>
      <c r="R7" s="206"/>
      <c r="S7" s="206"/>
      <c r="T7" s="206"/>
      <c r="U7" s="206"/>
      <c r="V7" s="206"/>
      <c r="W7" s="207"/>
    </row>
    <row r="8" spans="1:23" ht="16.5" customHeight="1">
      <c r="A8" s="559"/>
      <c r="B8" s="500"/>
      <c r="C8" s="500"/>
      <c r="D8" s="453"/>
      <c r="E8" s="559"/>
      <c r="F8" s="453"/>
      <c r="G8" s="559"/>
      <c r="H8" s="453"/>
      <c r="I8" s="687">
        <f>IF(AND(U1&gt;1,U1&lt;=2),((U1/2)-(0.5*(U1/2))),"")</f>
        <v>0.3125</v>
      </c>
      <c r="J8" s="484"/>
      <c r="K8" s="518"/>
      <c r="L8" s="687">
        <f>IF(AND(U1&gt;1,U1&lt;=2),((U1/2)-(0.866*(U1/2))),"")</f>
        <v>8.3749999999999991E-2</v>
      </c>
      <c r="M8" s="484"/>
      <c r="N8" s="518"/>
      <c r="O8" s="206"/>
      <c r="P8" s="206"/>
      <c r="Q8" s="206"/>
      <c r="R8" s="206"/>
      <c r="S8" s="206"/>
      <c r="T8" s="206"/>
      <c r="U8" s="206"/>
      <c r="V8" s="206"/>
      <c r="W8" s="207"/>
    </row>
    <row r="9" spans="1:23" ht="16.5" customHeight="1">
      <c r="A9" s="689" t="s">
        <v>371</v>
      </c>
      <c r="B9" s="477"/>
      <c r="C9" s="477"/>
      <c r="D9" s="478"/>
      <c r="E9" s="689">
        <v>3</v>
      </c>
      <c r="F9" s="478"/>
      <c r="G9" s="689">
        <v>12</v>
      </c>
      <c r="H9" s="478"/>
      <c r="I9" s="688" t="s">
        <v>372</v>
      </c>
      <c r="J9" s="475"/>
      <c r="K9" s="336"/>
      <c r="L9" s="688" t="s">
        <v>367</v>
      </c>
      <c r="M9" s="475"/>
      <c r="N9" s="336"/>
      <c r="O9" s="688" t="s">
        <v>373</v>
      </c>
      <c r="P9" s="475"/>
      <c r="Q9" s="336"/>
      <c r="R9" s="206"/>
      <c r="S9" s="206"/>
      <c r="T9" s="206"/>
      <c r="U9" s="206"/>
      <c r="V9" s="206"/>
      <c r="W9" s="207"/>
    </row>
    <row r="10" spans="1:23" ht="16.5" customHeight="1">
      <c r="A10" s="559"/>
      <c r="B10" s="500"/>
      <c r="C10" s="500"/>
      <c r="D10" s="453"/>
      <c r="E10" s="559"/>
      <c r="F10" s="453"/>
      <c r="G10" s="559"/>
      <c r="H10" s="453"/>
      <c r="I10" s="687" t="str">
        <f>IF(AND(U1&gt;2,U1&lt;=4),((U1/2)-(0.408*(U1/2))),"")</f>
        <v/>
      </c>
      <c r="J10" s="484"/>
      <c r="K10" s="518"/>
      <c r="L10" s="687" t="str">
        <f>IF(AND(U1&gt;2,U1&lt;=4),((U1/2)-(0.707*(U1/2))),"")</f>
        <v/>
      </c>
      <c r="M10" s="484"/>
      <c r="N10" s="518"/>
      <c r="O10" s="687" t="str">
        <f>IF(AND(U1&gt;2,U1&lt;=4),((U1/2)-(0.913*(U1/2))),"")</f>
        <v/>
      </c>
      <c r="P10" s="484"/>
      <c r="Q10" s="518"/>
      <c r="R10" s="206"/>
      <c r="S10" s="206"/>
      <c r="T10" s="206"/>
      <c r="U10" s="206"/>
      <c r="V10" s="206"/>
      <c r="W10" s="207"/>
    </row>
    <row r="11" spans="1:23" ht="16.5" customHeight="1">
      <c r="A11" s="689" t="s">
        <v>374</v>
      </c>
      <c r="B11" s="477"/>
      <c r="C11" s="477"/>
      <c r="D11" s="478"/>
      <c r="E11" s="689">
        <v>4</v>
      </c>
      <c r="F11" s="478"/>
      <c r="G11" s="689">
        <v>16</v>
      </c>
      <c r="H11" s="478"/>
      <c r="I11" s="688" t="s">
        <v>375</v>
      </c>
      <c r="J11" s="475"/>
      <c r="K11" s="336"/>
      <c r="L11" s="688" t="s">
        <v>376</v>
      </c>
      <c r="M11" s="475"/>
      <c r="N11" s="336"/>
      <c r="O11" s="688" t="s">
        <v>377</v>
      </c>
      <c r="P11" s="475"/>
      <c r="Q11" s="336"/>
      <c r="R11" s="688" t="s">
        <v>378</v>
      </c>
      <c r="S11" s="475"/>
      <c r="T11" s="336"/>
      <c r="U11" s="206"/>
      <c r="V11" s="206"/>
      <c r="W11" s="207"/>
    </row>
    <row r="12" spans="1:23" ht="16.5" customHeight="1">
      <c r="A12" s="559"/>
      <c r="B12" s="500"/>
      <c r="C12" s="500"/>
      <c r="D12" s="453"/>
      <c r="E12" s="559"/>
      <c r="F12" s="453"/>
      <c r="G12" s="559"/>
      <c r="H12" s="453"/>
      <c r="I12" s="687" t="str">
        <f>IF(AND(U1&gt;4,U1&lt;=4.5),((U1/2)-(0.354*(U1/2))),"")</f>
        <v/>
      </c>
      <c r="J12" s="484"/>
      <c r="K12" s="518"/>
      <c r="L12" s="687" t="str">
        <f>IF(AND(U1&gt;4,U1&lt;=4.5),((U1/2)-(0.612*(U1/2))),"")</f>
        <v/>
      </c>
      <c r="M12" s="484"/>
      <c r="N12" s="518"/>
      <c r="O12" s="687" t="str">
        <f>IF(AND(U1&gt;4,U1&lt;=4.5),((U1/2)-(0.791*(U1/2))),"")</f>
        <v/>
      </c>
      <c r="P12" s="484"/>
      <c r="Q12" s="518"/>
      <c r="R12" s="687" t="str">
        <f>IF(AND(U1&gt;4,U1&lt;=4.5),((U1/2)-(0.935*(U1/2))),"")</f>
        <v/>
      </c>
      <c r="S12" s="484"/>
      <c r="T12" s="518"/>
      <c r="U12" s="206"/>
      <c r="V12" s="206"/>
      <c r="W12" s="207"/>
    </row>
    <row r="13" spans="1:23" ht="16.5" customHeight="1">
      <c r="A13" s="689" t="s">
        <v>379</v>
      </c>
      <c r="B13" s="477"/>
      <c r="C13" s="477"/>
      <c r="D13" s="478"/>
      <c r="E13" s="689">
        <v>5</v>
      </c>
      <c r="F13" s="478"/>
      <c r="G13" s="689">
        <v>20</v>
      </c>
      <c r="H13" s="478"/>
      <c r="I13" s="688" t="s">
        <v>380</v>
      </c>
      <c r="J13" s="475"/>
      <c r="K13" s="336"/>
      <c r="L13" s="688" t="s">
        <v>381</v>
      </c>
      <c r="M13" s="475"/>
      <c r="N13" s="336"/>
      <c r="O13" s="688" t="s">
        <v>367</v>
      </c>
      <c r="P13" s="475"/>
      <c r="Q13" s="336"/>
      <c r="R13" s="688" t="s">
        <v>382</v>
      </c>
      <c r="S13" s="475"/>
      <c r="T13" s="475"/>
      <c r="U13" s="688" t="s">
        <v>383</v>
      </c>
      <c r="V13" s="475"/>
      <c r="W13" s="336"/>
    </row>
    <row r="14" spans="1:23" ht="16.5" customHeight="1">
      <c r="A14" s="559"/>
      <c r="B14" s="500"/>
      <c r="C14" s="500"/>
      <c r="D14" s="453"/>
      <c r="E14" s="559"/>
      <c r="F14" s="453"/>
      <c r="G14" s="559"/>
      <c r="H14" s="453"/>
      <c r="I14" s="687" t="str">
        <f>IF(U1&lt;=4.5,"",((U1/2)-(0.316*(U1/2))))</f>
        <v/>
      </c>
      <c r="J14" s="484"/>
      <c r="K14" s="518"/>
      <c r="L14" s="687" t="str">
        <f>IF(U1&lt;=4.5,"",((U1/2)-(0.548*(U1/2))))</f>
        <v/>
      </c>
      <c r="M14" s="484"/>
      <c r="N14" s="518"/>
      <c r="O14" s="687" t="str">
        <f>IF(U1&lt;=4.5,"",((U1/2)-(0.707*(U1/2))))</f>
        <v/>
      </c>
      <c r="P14" s="484"/>
      <c r="Q14" s="518"/>
      <c r="R14" s="687" t="str">
        <f>IF(U1&lt;=4.5,"",((U1/2)-(0.837*(U1/2))))</f>
        <v/>
      </c>
      <c r="S14" s="484"/>
      <c r="T14" s="484"/>
      <c r="U14" s="687" t="str">
        <f>IF(U1&lt;=4.5,"",((U1/2)-(0.949*(U1/2))))</f>
        <v/>
      </c>
      <c r="V14" s="484"/>
      <c r="W14" s="518"/>
    </row>
    <row r="15" spans="1:23" ht="16.5" customHeight="1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</row>
    <row r="16" spans="1:23" ht="16.5" customHeight="1">
      <c r="A16" s="208"/>
      <c r="B16" s="208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208"/>
      <c r="S16" s="208"/>
      <c r="T16" s="208"/>
      <c r="U16" s="208"/>
      <c r="V16" s="208"/>
      <c r="W16" s="208"/>
    </row>
    <row r="17" spans="1:23" ht="16.5" customHeight="1">
      <c r="A17" s="208"/>
      <c r="B17" s="208"/>
      <c r="C17" s="208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</row>
    <row r="18" spans="1:23" ht="16.5" customHeight="1">
      <c r="A18" s="208"/>
      <c r="B18" s="208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08"/>
      <c r="O18" s="208"/>
      <c r="P18" s="208"/>
      <c r="Q18" s="208"/>
      <c r="R18" s="208"/>
      <c r="S18" s="208"/>
      <c r="T18" s="208"/>
      <c r="U18" s="208"/>
      <c r="V18" s="208"/>
      <c r="W18" s="208"/>
    </row>
    <row r="19" spans="1:23" ht="16.5" customHeight="1">
      <c r="A19" s="208"/>
      <c r="B19" s="208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  <c r="U19" s="208"/>
      <c r="V19" s="208"/>
      <c r="W19" s="208"/>
    </row>
    <row r="20" spans="1:23" ht="16.5" customHeight="1">
      <c r="A20" s="208"/>
      <c r="B20" s="208"/>
      <c r="C20" s="208"/>
      <c r="D20" s="208"/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8"/>
      <c r="V20" s="208"/>
      <c r="W20" s="208"/>
    </row>
    <row r="21" spans="1:23" ht="16.5" customHeight="1">
      <c r="A21" s="208"/>
      <c r="B21" s="208"/>
      <c r="C21" s="208"/>
      <c r="D21" s="208"/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208"/>
      <c r="V21" s="208"/>
      <c r="W21" s="208"/>
    </row>
    <row r="22" spans="1:23" ht="16.5" customHeight="1">
      <c r="A22" s="208"/>
      <c r="B22" s="208"/>
      <c r="C22" s="208"/>
      <c r="D22" s="208"/>
      <c r="E22" s="208"/>
      <c r="F22" s="208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8"/>
      <c r="V22" s="208"/>
      <c r="W22" s="208"/>
    </row>
    <row r="23" spans="1:23" ht="16.5" customHeight="1">
      <c r="A23" s="208"/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  <c r="W23" s="208"/>
    </row>
    <row r="24" spans="1:23" ht="16.5" customHeight="1">
      <c r="A24" s="208"/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</row>
    <row r="25" spans="1:23" ht="16.5" customHeight="1">
      <c r="A25" s="208"/>
      <c r="B25" s="208"/>
      <c r="C25" s="208"/>
      <c r="D25" s="208"/>
      <c r="E25" s="208"/>
      <c r="F25" s="208"/>
      <c r="G25" s="208"/>
      <c r="H25" s="208"/>
      <c r="I25" s="208"/>
      <c r="J25" s="208"/>
      <c r="K25" s="208"/>
      <c r="L25" s="208"/>
      <c r="M25" s="208"/>
      <c r="N25" s="208"/>
      <c r="O25" s="208"/>
      <c r="P25" s="208"/>
      <c r="Q25" s="208"/>
      <c r="R25" s="208"/>
      <c r="S25" s="208"/>
      <c r="T25" s="208"/>
      <c r="U25" s="208"/>
      <c r="V25" s="208"/>
      <c r="W25" s="208"/>
    </row>
    <row r="26" spans="1:23" ht="16.5" customHeight="1">
      <c r="A26" s="208"/>
      <c r="B26" s="208"/>
      <c r="C26" s="208"/>
      <c r="D26" s="208"/>
      <c r="E26" s="208"/>
      <c r="F26" s="208"/>
      <c r="G26" s="208"/>
      <c r="H26" s="208"/>
      <c r="I26" s="208"/>
      <c r="J26" s="208"/>
      <c r="K26" s="208"/>
      <c r="L26" s="208"/>
      <c r="M26" s="208"/>
      <c r="N26" s="208"/>
      <c r="O26" s="208"/>
      <c r="P26" s="208"/>
      <c r="Q26" s="208"/>
      <c r="R26" s="208"/>
      <c r="S26" s="208"/>
      <c r="T26" s="208"/>
      <c r="U26" s="208"/>
      <c r="V26" s="208"/>
      <c r="W26" s="208"/>
    </row>
    <row r="27" spans="1:23" ht="16.5" customHeight="1">
      <c r="A27" s="208"/>
      <c r="B27" s="208"/>
      <c r="C27" s="208"/>
      <c r="D27" s="208"/>
      <c r="E27" s="208"/>
      <c r="F27" s="208"/>
      <c r="G27" s="208"/>
      <c r="H27" s="208"/>
      <c r="I27" s="208"/>
      <c r="J27" s="208"/>
      <c r="K27" s="208"/>
      <c r="L27" s="208"/>
      <c r="M27" s="208"/>
      <c r="N27" s="208"/>
      <c r="O27" s="208"/>
      <c r="P27" s="208"/>
      <c r="Q27" s="208"/>
      <c r="R27" s="208"/>
      <c r="S27" s="208"/>
      <c r="T27" s="208"/>
      <c r="U27" s="208"/>
      <c r="V27" s="208"/>
      <c r="W27" s="208"/>
    </row>
    <row r="28" spans="1:23" ht="16.5" customHeight="1">
      <c r="A28" s="208"/>
      <c r="B28" s="208"/>
      <c r="C28" s="208"/>
      <c r="D28" s="208"/>
      <c r="E28" s="208"/>
      <c r="F28" s="208"/>
      <c r="G28" s="208"/>
      <c r="H28" s="208"/>
      <c r="I28" s="208"/>
      <c r="J28" s="208"/>
      <c r="K28" s="208"/>
      <c r="L28" s="208"/>
      <c r="M28" s="208"/>
      <c r="N28" s="208"/>
      <c r="O28" s="208"/>
      <c r="P28" s="208"/>
      <c r="Q28" s="208"/>
      <c r="R28" s="208"/>
      <c r="S28" s="208"/>
      <c r="T28" s="208"/>
      <c r="U28" s="208"/>
      <c r="V28" s="208"/>
      <c r="W28" s="208"/>
    </row>
    <row r="29" spans="1:23" ht="16.5" customHeight="1">
      <c r="A29" s="208"/>
      <c r="B29" s="208"/>
      <c r="C29" s="208"/>
      <c r="D29" s="208"/>
      <c r="E29" s="208"/>
      <c r="F29" s="208"/>
      <c r="G29" s="208"/>
      <c r="H29" s="208"/>
      <c r="I29" s="208"/>
      <c r="J29" s="208"/>
      <c r="K29" s="208"/>
      <c r="L29" s="208"/>
      <c r="M29" s="208"/>
      <c r="N29" s="208"/>
      <c r="O29" s="208"/>
      <c r="P29" s="208"/>
      <c r="Q29" s="208"/>
      <c r="R29" s="208"/>
      <c r="S29" s="208"/>
      <c r="T29" s="208"/>
      <c r="U29" s="208"/>
      <c r="V29" s="208"/>
      <c r="W29" s="208"/>
    </row>
    <row r="30" spans="1:23" ht="16.5" customHeight="1">
      <c r="A30" s="208"/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</row>
    <row r="31" spans="1:23" ht="16.5" customHeight="1">
      <c r="A31" s="208"/>
      <c r="B31" s="208"/>
      <c r="C31" s="208"/>
      <c r="D31" s="208"/>
      <c r="E31" s="208"/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</row>
    <row r="32" spans="1:23" ht="16.5" customHeight="1">
      <c r="A32" s="208"/>
      <c r="B32" s="208"/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8"/>
      <c r="V32" s="208"/>
      <c r="W32" s="208"/>
    </row>
    <row r="33" spans="1:23" ht="16.5" customHeight="1">
      <c r="A33" s="208"/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8"/>
      <c r="N33" s="208"/>
      <c r="O33" s="208"/>
      <c r="P33" s="208"/>
      <c r="Q33" s="208"/>
      <c r="R33" s="208"/>
      <c r="S33" s="208"/>
      <c r="T33" s="208"/>
      <c r="U33" s="208"/>
      <c r="V33" s="208"/>
      <c r="W33" s="208"/>
    </row>
    <row r="34" spans="1:23" ht="16.5" customHeight="1">
      <c r="A34" s="208"/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8"/>
      <c r="N34" s="208"/>
      <c r="O34" s="208"/>
      <c r="P34" s="208"/>
      <c r="Q34" s="208"/>
      <c r="R34" s="208"/>
      <c r="S34" s="208"/>
      <c r="T34" s="208"/>
      <c r="U34" s="208"/>
      <c r="V34" s="208"/>
      <c r="W34" s="208"/>
    </row>
    <row r="35" spans="1:23" ht="16.5" customHeight="1">
      <c r="A35" s="208"/>
      <c r="B35" s="208"/>
      <c r="C35" s="208"/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208"/>
      <c r="O35" s="208"/>
      <c r="P35" s="208"/>
      <c r="Q35" s="208"/>
      <c r="R35" s="208"/>
      <c r="S35" s="208"/>
      <c r="T35" s="208"/>
      <c r="U35" s="208"/>
      <c r="V35" s="208"/>
      <c r="W35" s="208"/>
    </row>
    <row r="36" spans="1:23" ht="16.5" customHeight="1">
      <c r="A36" s="208"/>
      <c r="B36" s="208"/>
      <c r="C36" s="208"/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8"/>
      <c r="U36" s="208"/>
      <c r="V36" s="208"/>
      <c r="W36" s="208"/>
    </row>
    <row r="37" spans="1:23" ht="16.5" customHeight="1">
      <c r="A37" s="208"/>
      <c r="B37" s="208"/>
      <c r="C37" s="208"/>
      <c r="D37" s="208"/>
      <c r="E37" s="208"/>
      <c r="F37" s="208"/>
      <c r="G37" s="208"/>
      <c r="H37" s="208"/>
      <c r="I37" s="208"/>
      <c r="J37" s="208"/>
      <c r="K37" s="208"/>
      <c r="L37" s="208"/>
      <c r="M37" s="208"/>
      <c r="N37" s="208"/>
      <c r="O37" s="208"/>
      <c r="P37" s="208"/>
      <c r="Q37" s="208"/>
      <c r="R37" s="208"/>
      <c r="S37" s="208"/>
      <c r="T37" s="208"/>
      <c r="U37" s="208"/>
      <c r="V37" s="208"/>
      <c r="W37" s="208"/>
    </row>
    <row r="38" spans="1:23" ht="16.5" customHeight="1">
      <c r="A38" s="208"/>
      <c r="B38" s="208"/>
      <c r="C38" s="208"/>
      <c r="D38" s="208"/>
      <c r="E38" s="208"/>
      <c r="F38" s="208"/>
      <c r="G38" s="208"/>
      <c r="H38" s="208"/>
      <c r="I38" s="208"/>
      <c r="J38" s="208"/>
      <c r="K38" s="208"/>
      <c r="L38" s="208"/>
      <c r="M38" s="208"/>
      <c r="N38" s="208"/>
      <c r="O38" s="208"/>
      <c r="P38" s="208"/>
      <c r="Q38" s="208"/>
      <c r="R38" s="208"/>
      <c r="S38" s="208"/>
      <c r="T38" s="208"/>
      <c r="U38" s="208"/>
      <c r="V38" s="208"/>
      <c r="W38" s="208"/>
    </row>
    <row r="39" spans="1:23" ht="16.5" customHeight="1">
      <c r="A39" s="208"/>
      <c r="B39" s="208"/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08"/>
    </row>
    <row r="40" spans="1:23" ht="16.5" customHeight="1">
      <c r="A40" s="208"/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8"/>
      <c r="P40" s="208"/>
      <c r="Q40" s="208"/>
      <c r="R40" s="208"/>
      <c r="S40" s="208"/>
      <c r="T40" s="208"/>
      <c r="U40" s="208"/>
      <c r="V40" s="208"/>
      <c r="W40" s="208"/>
    </row>
    <row r="41" spans="1:23" ht="16.5" customHeight="1">
      <c r="A41" s="208"/>
      <c r="B41" s="208"/>
      <c r="C41" s="208"/>
      <c r="D41" s="208"/>
      <c r="E41" s="208"/>
      <c r="F41" s="208"/>
      <c r="G41" s="208"/>
      <c r="H41" s="208"/>
      <c r="I41" s="208"/>
      <c r="J41" s="208"/>
      <c r="K41" s="208"/>
      <c r="L41" s="208"/>
      <c r="M41" s="208"/>
      <c r="N41" s="208"/>
      <c r="O41" s="208"/>
      <c r="P41" s="208"/>
      <c r="Q41" s="208"/>
      <c r="R41" s="208"/>
      <c r="S41" s="208"/>
      <c r="T41" s="208"/>
      <c r="U41" s="208"/>
      <c r="V41" s="208"/>
      <c r="W41" s="208"/>
    </row>
    <row r="42" spans="1:23" ht="16.5" customHeight="1">
      <c r="A42" s="208"/>
      <c r="B42" s="208"/>
      <c r="C42" s="208"/>
      <c r="D42" s="208"/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  <c r="W42" s="208"/>
    </row>
    <row r="43" spans="1:23" ht="16.5" customHeight="1">
      <c r="A43" s="208"/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  <c r="T43" s="208"/>
      <c r="U43" s="208"/>
      <c r="V43" s="208"/>
      <c r="W43" s="208"/>
    </row>
    <row r="44" spans="1:23" ht="16.5" customHeight="1">
      <c r="A44" s="208"/>
      <c r="B44" s="208"/>
      <c r="C44" s="208"/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08"/>
      <c r="T44" s="208"/>
      <c r="U44" s="208"/>
      <c r="V44" s="208"/>
      <c r="W44" s="208"/>
    </row>
    <row r="45" spans="1:23" ht="16.5" customHeight="1">
      <c r="A45" s="208"/>
      <c r="B45" s="208"/>
      <c r="C45" s="208"/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08"/>
      <c r="T45" s="208"/>
      <c r="U45" s="208"/>
      <c r="V45" s="208"/>
      <c r="W45" s="208"/>
    </row>
    <row r="46" spans="1:23" ht="16.5" customHeight="1">
      <c r="A46" s="208"/>
      <c r="B46" s="208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</row>
    <row r="47" spans="1:23" ht="16.5" customHeight="1">
      <c r="A47" s="208"/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08"/>
      <c r="T47" s="208"/>
      <c r="U47" s="208"/>
      <c r="V47" s="208"/>
      <c r="W47" s="208"/>
    </row>
    <row r="48" spans="1:23" ht="16.5" customHeight="1">
      <c r="A48" s="208"/>
      <c r="B48" s="208"/>
      <c r="C48" s="208"/>
      <c r="D48" s="208"/>
      <c r="E48" s="208"/>
      <c r="F48" s="208"/>
      <c r="G48" s="208"/>
      <c r="H48" s="208"/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08"/>
      <c r="T48" s="208"/>
      <c r="U48" s="208"/>
      <c r="V48" s="208"/>
      <c r="W48" s="208"/>
    </row>
    <row r="49" spans="1:23" ht="16.5" customHeight="1">
      <c r="A49" s="208"/>
      <c r="B49" s="208"/>
      <c r="C49" s="208"/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08"/>
      <c r="T49" s="208"/>
      <c r="U49" s="208"/>
      <c r="V49" s="208"/>
      <c r="W49" s="208"/>
    </row>
    <row r="50" spans="1:23" ht="16.5" customHeight="1">
      <c r="A50" s="208"/>
      <c r="B50" s="208"/>
      <c r="C50" s="208"/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08"/>
      <c r="T50" s="208"/>
      <c r="U50" s="208"/>
      <c r="V50" s="208"/>
      <c r="W50" s="208"/>
    </row>
    <row r="51" spans="1:23" ht="16.5" customHeight="1">
      <c r="A51" s="208"/>
      <c r="B51" s="208"/>
      <c r="C51" s="208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08"/>
      <c r="T51" s="208"/>
      <c r="U51" s="208"/>
      <c r="V51" s="208"/>
      <c r="W51" s="208"/>
    </row>
    <row r="52" spans="1:23" ht="16.5" customHeight="1">
      <c r="A52" s="208"/>
      <c r="B52" s="208"/>
      <c r="C52" s="208"/>
      <c r="D52" s="208"/>
      <c r="E52" s="208"/>
      <c r="F52" s="208"/>
      <c r="G52" s="208"/>
      <c r="H52" s="208"/>
      <c r="I52" s="208"/>
      <c r="J52" s="208"/>
      <c r="K52" s="208"/>
      <c r="L52" s="208"/>
      <c r="M52" s="208"/>
      <c r="N52" s="208"/>
      <c r="O52" s="208"/>
      <c r="P52" s="208"/>
      <c r="Q52" s="208"/>
      <c r="R52" s="208"/>
      <c r="S52" s="208"/>
      <c r="T52" s="208"/>
      <c r="U52" s="208"/>
      <c r="V52" s="208"/>
      <c r="W52" s="208"/>
    </row>
    <row r="53" spans="1:23" ht="16.5" customHeight="1">
      <c r="A53" s="208"/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08"/>
    </row>
    <row r="54" spans="1:23" ht="16.5" customHeight="1">
      <c r="A54" s="208"/>
      <c r="B54" s="208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</row>
    <row r="55" spans="1:23" ht="16.5" customHeight="1">
      <c r="A55" s="208"/>
      <c r="B55" s="208"/>
      <c r="C55" s="208"/>
      <c r="D55" s="208"/>
      <c r="E55" s="208"/>
      <c r="F55" s="208"/>
      <c r="G55" s="208"/>
      <c r="H55" s="208"/>
      <c r="I55" s="208"/>
      <c r="J55" s="208"/>
      <c r="K55" s="208"/>
      <c r="L55" s="208"/>
      <c r="M55" s="208"/>
      <c r="N55" s="208"/>
      <c r="O55" s="208"/>
      <c r="P55" s="208"/>
      <c r="Q55" s="208"/>
      <c r="R55" s="208"/>
      <c r="S55" s="208"/>
      <c r="T55" s="208"/>
      <c r="U55" s="208"/>
      <c r="V55" s="208"/>
      <c r="W55" s="208"/>
    </row>
    <row r="56" spans="1:23" ht="16.5" customHeight="1">
      <c r="A56" s="208"/>
      <c r="B56" s="208"/>
      <c r="C56" s="208"/>
      <c r="D56" s="208"/>
      <c r="E56" s="208"/>
      <c r="F56" s="208"/>
      <c r="G56" s="208"/>
      <c r="H56" s="208"/>
      <c r="I56" s="208"/>
      <c r="J56" s="208"/>
      <c r="K56" s="208"/>
      <c r="L56" s="208"/>
      <c r="M56" s="208"/>
      <c r="N56" s="208"/>
      <c r="O56" s="208"/>
      <c r="P56" s="208"/>
      <c r="Q56" s="208"/>
      <c r="R56" s="208"/>
      <c r="S56" s="208"/>
      <c r="T56" s="208"/>
      <c r="U56" s="208"/>
      <c r="V56" s="208"/>
      <c r="W56" s="208"/>
    </row>
    <row r="57" spans="1:23" ht="16.5" customHeight="1">
      <c r="A57" s="208"/>
      <c r="B57" s="208"/>
      <c r="C57" s="208"/>
      <c r="D57" s="208"/>
      <c r="E57" s="208"/>
      <c r="F57" s="208"/>
      <c r="G57" s="208"/>
      <c r="H57" s="208"/>
      <c r="I57" s="208"/>
      <c r="J57" s="208"/>
      <c r="K57" s="208"/>
      <c r="L57" s="208"/>
      <c r="M57" s="208"/>
      <c r="N57" s="208"/>
      <c r="O57" s="208"/>
      <c r="P57" s="208"/>
      <c r="Q57" s="208"/>
      <c r="R57" s="208"/>
      <c r="S57" s="208"/>
      <c r="T57" s="208"/>
      <c r="U57" s="208"/>
      <c r="V57" s="208"/>
      <c r="W57" s="208"/>
    </row>
    <row r="58" spans="1:23" ht="16.5" customHeight="1">
      <c r="A58" s="208"/>
      <c r="B58" s="208"/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</row>
    <row r="59" spans="1:23" ht="16.5" customHeight="1">
      <c r="A59" s="208"/>
      <c r="B59" s="208"/>
      <c r="C59" s="208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  <c r="W59" s="208"/>
    </row>
    <row r="60" spans="1:23" ht="16.5" customHeight="1">
      <c r="A60" s="208"/>
      <c r="B60" s="208"/>
      <c r="C60" s="208"/>
      <c r="D60" s="208"/>
      <c r="E60" s="208"/>
      <c r="F60" s="208"/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208"/>
      <c r="T60" s="208"/>
      <c r="U60" s="208"/>
      <c r="V60" s="208"/>
      <c r="W60" s="208"/>
    </row>
    <row r="61" spans="1:23" ht="16.5" customHeight="1">
      <c r="A61" s="208"/>
      <c r="B61" s="208"/>
      <c r="C61" s="208"/>
      <c r="D61" s="208"/>
      <c r="E61" s="208"/>
      <c r="F61" s="208"/>
      <c r="G61" s="208"/>
      <c r="H61" s="208"/>
      <c r="I61" s="208"/>
      <c r="J61" s="208"/>
      <c r="K61" s="208"/>
      <c r="L61" s="208"/>
      <c r="M61" s="208"/>
      <c r="N61" s="208"/>
      <c r="O61" s="208"/>
      <c r="P61" s="208"/>
      <c r="Q61" s="208"/>
      <c r="R61" s="208"/>
      <c r="S61" s="208"/>
      <c r="T61" s="208"/>
      <c r="U61" s="208"/>
      <c r="V61" s="208"/>
      <c r="W61" s="208"/>
    </row>
    <row r="62" spans="1:23" ht="16.5" customHeight="1">
      <c r="A62" s="208"/>
      <c r="B62" s="208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</row>
    <row r="63" spans="1:23" ht="16.5" customHeight="1">
      <c r="A63" s="208"/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208"/>
      <c r="Q63" s="208"/>
      <c r="R63" s="208"/>
      <c r="S63" s="208"/>
      <c r="T63" s="208"/>
      <c r="U63" s="208"/>
      <c r="V63" s="208"/>
      <c r="W63" s="208"/>
    </row>
    <row r="64" spans="1:23" ht="16.5" customHeight="1">
      <c r="A64" s="208"/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8"/>
      <c r="P64" s="208"/>
      <c r="Q64" s="208"/>
      <c r="R64" s="208"/>
      <c r="S64" s="208"/>
      <c r="T64" s="208"/>
      <c r="U64" s="208"/>
      <c r="V64" s="208"/>
      <c r="W64" s="208"/>
    </row>
    <row r="65" spans="1:23" ht="16.5" customHeight="1">
      <c r="A65" s="208"/>
      <c r="B65" s="208"/>
      <c r="C65" s="208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8"/>
      <c r="T65" s="208"/>
      <c r="U65" s="208"/>
      <c r="V65" s="208"/>
      <c r="W65" s="208"/>
    </row>
    <row r="66" spans="1:23" ht="16.5" customHeight="1">
      <c r="A66" s="208"/>
      <c r="B66" s="208"/>
      <c r="C66" s="208"/>
      <c r="D66" s="208"/>
      <c r="E66" s="208"/>
      <c r="F66" s="208"/>
      <c r="G66" s="208"/>
      <c r="H66" s="208"/>
      <c r="I66" s="208"/>
      <c r="J66" s="208"/>
      <c r="K66" s="208"/>
      <c r="L66" s="208"/>
      <c r="M66" s="208"/>
      <c r="N66" s="208"/>
      <c r="O66" s="208"/>
      <c r="P66" s="208"/>
      <c r="Q66" s="208"/>
      <c r="R66" s="208"/>
      <c r="S66" s="208"/>
      <c r="T66" s="208"/>
      <c r="U66" s="208"/>
      <c r="V66" s="208"/>
      <c r="W66" s="208"/>
    </row>
    <row r="67" spans="1:23" ht="16.5" customHeight="1">
      <c r="A67" s="208"/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8"/>
      <c r="P67" s="208"/>
      <c r="Q67" s="208"/>
      <c r="R67" s="208"/>
      <c r="S67" s="208"/>
      <c r="T67" s="208"/>
      <c r="U67" s="208"/>
      <c r="V67" s="208"/>
      <c r="W67" s="208"/>
    </row>
    <row r="68" spans="1:23" ht="16.5" customHeight="1">
      <c r="A68" s="208"/>
      <c r="B68" s="208"/>
      <c r="C68" s="208"/>
      <c r="D68" s="208"/>
      <c r="E68" s="208"/>
      <c r="F68" s="208"/>
      <c r="G68" s="208"/>
      <c r="H68" s="208"/>
      <c r="I68" s="208"/>
      <c r="J68" s="208"/>
      <c r="K68" s="208"/>
      <c r="L68" s="208"/>
      <c r="M68" s="208"/>
      <c r="N68" s="208"/>
      <c r="O68" s="208"/>
      <c r="P68" s="208"/>
      <c r="Q68" s="208"/>
      <c r="R68" s="208"/>
      <c r="S68" s="208"/>
      <c r="T68" s="208"/>
      <c r="U68" s="208"/>
      <c r="V68" s="208"/>
      <c r="W68" s="208"/>
    </row>
    <row r="69" spans="1:23" ht="16.5" customHeight="1">
      <c r="A69" s="208"/>
      <c r="B69" s="208"/>
      <c r="C69" s="208"/>
      <c r="D69" s="208"/>
      <c r="E69" s="208"/>
      <c r="F69" s="208"/>
      <c r="G69" s="208"/>
      <c r="H69" s="208"/>
      <c r="I69" s="208"/>
      <c r="J69" s="208"/>
      <c r="K69" s="208"/>
      <c r="L69" s="208"/>
      <c r="M69" s="208"/>
      <c r="N69" s="208"/>
      <c r="O69" s="208"/>
      <c r="P69" s="208"/>
      <c r="Q69" s="208"/>
      <c r="R69" s="208"/>
      <c r="S69" s="208"/>
      <c r="T69" s="208"/>
      <c r="U69" s="208"/>
      <c r="V69" s="208"/>
      <c r="W69" s="208"/>
    </row>
    <row r="70" spans="1:23" ht="16.5" customHeight="1">
      <c r="A70" s="208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</row>
    <row r="71" spans="1:23" ht="16.5" customHeight="1">
      <c r="A71" s="208"/>
      <c r="B71" s="208"/>
      <c r="C71" s="208"/>
      <c r="D71" s="208"/>
      <c r="E71" s="208"/>
      <c r="F71" s="208"/>
      <c r="G71" s="208"/>
      <c r="H71" s="208"/>
      <c r="I71" s="208"/>
      <c r="J71" s="208"/>
      <c r="K71" s="208"/>
      <c r="L71" s="208"/>
      <c r="M71" s="208"/>
      <c r="N71" s="208"/>
      <c r="O71" s="208"/>
      <c r="P71" s="208"/>
      <c r="Q71" s="208"/>
      <c r="R71" s="208"/>
      <c r="S71" s="208"/>
      <c r="T71" s="208"/>
      <c r="U71" s="208"/>
      <c r="V71" s="208"/>
      <c r="W71" s="208"/>
    </row>
    <row r="72" spans="1:23" ht="16.5" customHeight="1">
      <c r="A72" s="208"/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8"/>
      <c r="U72" s="208"/>
      <c r="V72" s="208"/>
      <c r="W72" s="208"/>
    </row>
    <row r="73" spans="1:23" ht="16.5" customHeight="1">
      <c r="A73" s="208"/>
      <c r="B73" s="208"/>
      <c r="C73" s="208"/>
      <c r="D73" s="208"/>
      <c r="E73" s="208"/>
      <c r="F73" s="208"/>
      <c r="G73" s="208"/>
      <c r="H73" s="208"/>
      <c r="I73" s="208"/>
      <c r="J73" s="208"/>
      <c r="K73" s="208"/>
      <c r="L73" s="208"/>
      <c r="M73" s="208"/>
      <c r="N73" s="208"/>
      <c r="O73" s="208"/>
      <c r="P73" s="208"/>
      <c r="Q73" s="208"/>
      <c r="R73" s="208"/>
      <c r="S73" s="208"/>
      <c r="T73" s="208"/>
      <c r="U73" s="208"/>
      <c r="V73" s="208"/>
      <c r="W73" s="208"/>
    </row>
    <row r="74" spans="1:23" ht="16.5" customHeight="1">
      <c r="A74" s="208"/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8"/>
      <c r="Q74" s="208"/>
      <c r="R74" s="208"/>
      <c r="S74" s="208"/>
      <c r="T74" s="208"/>
      <c r="U74" s="208"/>
      <c r="V74" s="208"/>
      <c r="W74" s="208"/>
    </row>
    <row r="75" spans="1:23" ht="16.5" customHeight="1">
      <c r="A75" s="208"/>
      <c r="B75" s="208"/>
      <c r="C75" s="208"/>
      <c r="D75" s="208"/>
      <c r="E75" s="208"/>
      <c r="F75" s="208"/>
      <c r="G75" s="208"/>
      <c r="H75" s="208"/>
      <c r="I75" s="208"/>
      <c r="J75" s="208"/>
      <c r="K75" s="208"/>
      <c r="L75" s="208"/>
      <c r="M75" s="208"/>
      <c r="N75" s="208"/>
      <c r="O75" s="208"/>
      <c r="P75" s="208"/>
      <c r="Q75" s="208"/>
      <c r="R75" s="208"/>
      <c r="S75" s="208"/>
      <c r="T75" s="208"/>
      <c r="U75" s="208"/>
      <c r="V75" s="208"/>
      <c r="W75" s="208"/>
    </row>
    <row r="76" spans="1:23" ht="16.5" customHeight="1">
      <c r="A76" s="208"/>
      <c r="B76" s="208"/>
      <c r="C76" s="208"/>
      <c r="D76" s="208"/>
      <c r="E76" s="208"/>
      <c r="F76" s="208"/>
      <c r="G76" s="208"/>
      <c r="H76" s="208"/>
      <c r="I76" s="208"/>
      <c r="J76" s="208"/>
      <c r="K76" s="208"/>
      <c r="L76" s="208"/>
      <c r="M76" s="208"/>
      <c r="N76" s="208"/>
      <c r="O76" s="208"/>
      <c r="P76" s="208"/>
      <c r="Q76" s="208"/>
      <c r="R76" s="208"/>
      <c r="S76" s="208"/>
      <c r="T76" s="208"/>
      <c r="U76" s="208"/>
      <c r="V76" s="208"/>
      <c r="W76" s="208"/>
    </row>
    <row r="77" spans="1:23" ht="16.5" customHeight="1">
      <c r="A77" s="208"/>
      <c r="B77" s="208"/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  <c r="W77" s="208"/>
    </row>
    <row r="78" spans="1:23" ht="16.5" customHeight="1">
      <c r="A78" s="208"/>
      <c r="B78" s="208"/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</row>
    <row r="79" spans="1:23" ht="16.5" customHeight="1">
      <c r="A79" s="208"/>
      <c r="B79" s="208"/>
      <c r="C79" s="208"/>
      <c r="D79" s="208"/>
      <c r="E79" s="208"/>
      <c r="F79" s="208"/>
      <c r="G79" s="208"/>
      <c r="H79" s="208"/>
      <c r="I79" s="208"/>
      <c r="J79" s="208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  <c r="W79" s="208"/>
    </row>
    <row r="80" spans="1:23" ht="16.5" customHeight="1">
      <c r="A80" s="208"/>
      <c r="B80" s="208"/>
      <c r="C80" s="208"/>
      <c r="D80" s="208"/>
      <c r="E80" s="208"/>
      <c r="F80" s="208"/>
      <c r="G80" s="208"/>
      <c r="H80" s="208"/>
      <c r="I80" s="208"/>
      <c r="J80" s="208"/>
      <c r="K80" s="208"/>
      <c r="L80" s="208"/>
      <c r="M80" s="208"/>
      <c r="N80" s="208"/>
      <c r="O80" s="208"/>
      <c r="P80" s="208"/>
      <c r="Q80" s="208"/>
      <c r="R80" s="208"/>
      <c r="S80" s="208"/>
      <c r="T80" s="208"/>
      <c r="U80" s="208"/>
      <c r="V80" s="208"/>
      <c r="W80" s="208"/>
    </row>
    <row r="81" spans="1:23" ht="16.5" customHeight="1">
      <c r="A81" s="208"/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8"/>
      <c r="P81" s="208"/>
      <c r="Q81" s="208"/>
      <c r="R81" s="208"/>
      <c r="S81" s="208"/>
      <c r="T81" s="208"/>
      <c r="U81" s="208"/>
      <c r="V81" s="208"/>
      <c r="W81" s="208"/>
    </row>
    <row r="82" spans="1:23" ht="16.5" customHeight="1">
      <c r="A82" s="208"/>
      <c r="B82" s="208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8"/>
      <c r="N82" s="208"/>
      <c r="O82" s="208"/>
      <c r="P82" s="208"/>
      <c r="Q82" s="208"/>
      <c r="R82" s="208"/>
      <c r="S82" s="208"/>
      <c r="T82" s="208"/>
      <c r="U82" s="208"/>
      <c r="V82" s="208"/>
      <c r="W82" s="208"/>
    </row>
    <row r="83" spans="1:23" ht="16.5" customHeight="1">
      <c r="A83" s="208"/>
      <c r="B83" s="208"/>
      <c r="C83" s="208"/>
      <c r="D83" s="208"/>
      <c r="E83" s="208"/>
      <c r="F83" s="208"/>
      <c r="G83" s="208"/>
      <c r="H83" s="208"/>
      <c r="I83" s="208"/>
      <c r="J83" s="208"/>
      <c r="K83" s="208"/>
      <c r="L83" s="208"/>
      <c r="M83" s="208"/>
      <c r="N83" s="208"/>
      <c r="O83" s="208"/>
      <c r="P83" s="208"/>
      <c r="Q83" s="208"/>
      <c r="R83" s="208"/>
      <c r="S83" s="208"/>
      <c r="T83" s="208"/>
      <c r="U83" s="208"/>
      <c r="V83" s="208"/>
      <c r="W83" s="208"/>
    </row>
    <row r="84" spans="1:23" ht="16.5" customHeight="1">
      <c r="A84" s="208"/>
      <c r="B84" s="208"/>
      <c r="C84" s="208"/>
      <c r="D84" s="208"/>
      <c r="E84" s="208"/>
      <c r="F84" s="208"/>
      <c r="G84" s="208"/>
      <c r="H84" s="208"/>
      <c r="I84" s="208"/>
      <c r="J84" s="208"/>
      <c r="K84" s="208"/>
      <c r="L84" s="208"/>
      <c r="M84" s="208"/>
      <c r="N84" s="208"/>
      <c r="O84" s="208"/>
      <c r="P84" s="208"/>
      <c r="Q84" s="208"/>
      <c r="R84" s="208"/>
      <c r="S84" s="208"/>
      <c r="T84" s="208"/>
      <c r="U84" s="208"/>
      <c r="V84" s="208"/>
      <c r="W84" s="208"/>
    </row>
    <row r="85" spans="1:23" ht="16.5" customHeight="1">
      <c r="A85" s="208"/>
      <c r="B85" s="208"/>
      <c r="C85" s="208"/>
      <c r="D85" s="208"/>
      <c r="E85" s="208"/>
      <c r="F85" s="208"/>
      <c r="G85" s="208"/>
      <c r="H85" s="208"/>
      <c r="I85" s="208"/>
      <c r="J85" s="208"/>
      <c r="K85" s="20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</row>
    <row r="86" spans="1:23" ht="16.5" customHeight="1">
      <c r="A86" s="208"/>
      <c r="B86" s="208"/>
      <c r="C86" s="208"/>
      <c r="D86" s="208"/>
      <c r="E86" s="208"/>
      <c r="F86" s="208"/>
      <c r="G86" s="208"/>
      <c r="H86" s="208"/>
      <c r="I86" s="208"/>
      <c r="J86" s="208"/>
      <c r="K86" s="208"/>
      <c r="L86" s="208"/>
      <c r="M86" s="208"/>
      <c r="N86" s="208"/>
      <c r="O86" s="208"/>
      <c r="P86" s="208"/>
      <c r="Q86" s="208"/>
      <c r="R86" s="208"/>
      <c r="S86" s="208"/>
      <c r="T86" s="208"/>
      <c r="U86" s="208"/>
      <c r="V86" s="208"/>
      <c r="W86" s="208"/>
    </row>
    <row r="87" spans="1:23" ht="16.5" customHeight="1">
      <c r="A87" s="208"/>
      <c r="B87" s="208"/>
      <c r="C87" s="208"/>
      <c r="D87" s="208"/>
      <c r="E87" s="208"/>
      <c r="F87" s="208"/>
      <c r="G87" s="208"/>
      <c r="H87" s="208"/>
      <c r="I87" s="208"/>
      <c r="J87" s="208"/>
      <c r="K87" s="208"/>
      <c r="L87" s="208"/>
      <c r="M87" s="208"/>
      <c r="N87" s="208"/>
      <c r="O87" s="208"/>
      <c r="P87" s="208"/>
      <c r="Q87" s="208"/>
      <c r="R87" s="208"/>
      <c r="S87" s="208"/>
      <c r="T87" s="208"/>
      <c r="U87" s="208"/>
      <c r="V87" s="208"/>
      <c r="W87" s="208"/>
    </row>
    <row r="88" spans="1:23" ht="16.5" customHeight="1">
      <c r="A88" s="208"/>
      <c r="B88" s="208"/>
      <c r="C88" s="208"/>
      <c r="D88" s="208"/>
      <c r="E88" s="208"/>
      <c r="F88" s="208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208"/>
      <c r="R88" s="208"/>
      <c r="S88" s="208"/>
      <c r="T88" s="208"/>
      <c r="U88" s="208"/>
      <c r="V88" s="208"/>
      <c r="W88" s="208"/>
    </row>
    <row r="89" spans="1:23" ht="16.5" customHeight="1">
      <c r="A89" s="208"/>
      <c r="B89" s="208"/>
      <c r="C89" s="208"/>
      <c r="D89" s="208"/>
      <c r="E89" s="208"/>
      <c r="F89" s="208"/>
      <c r="G89" s="208"/>
      <c r="H89" s="208"/>
      <c r="I89" s="208"/>
      <c r="J89" s="208"/>
      <c r="K89" s="208"/>
      <c r="L89" s="208"/>
      <c r="M89" s="208"/>
      <c r="N89" s="208"/>
      <c r="O89" s="208"/>
      <c r="P89" s="208"/>
      <c r="Q89" s="208"/>
      <c r="R89" s="208"/>
      <c r="S89" s="208"/>
      <c r="T89" s="208"/>
      <c r="U89" s="208"/>
      <c r="V89" s="208"/>
      <c r="W89" s="208"/>
    </row>
    <row r="90" spans="1:23" ht="16.5" customHeight="1">
      <c r="A90" s="208"/>
      <c r="B90" s="208"/>
      <c r="C90" s="208"/>
      <c r="D90" s="208"/>
      <c r="E90" s="208"/>
      <c r="F90" s="208"/>
      <c r="G90" s="208"/>
      <c r="H90" s="208"/>
      <c r="I90" s="208"/>
      <c r="J90" s="208"/>
      <c r="K90" s="208"/>
      <c r="L90" s="208"/>
      <c r="M90" s="208"/>
      <c r="N90" s="208"/>
      <c r="O90" s="208"/>
      <c r="P90" s="208"/>
      <c r="Q90" s="208"/>
      <c r="R90" s="208"/>
      <c r="S90" s="208"/>
      <c r="T90" s="208"/>
      <c r="U90" s="208"/>
      <c r="V90" s="208"/>
      <c r="W90" s="208"/>
    </row>
    <row r="91" spans="1:23" ht="16.5" customHeight="1">
      <c r="A91" s="208"/>
      <c r="B91" s="208"/>
      <c r="C91" s="208"/>
      <c r="D91" s="208"/>
      <c r="E91" s="208"/>
      <c r="F91" s="208"/>
      <c r="G91" s="208"/>
      <c r="H91" s="208"/>
      <c r="I91" s="208"/>
      <c r="J91" s="208"/>
      <c r="K91" s="208"/>
      <c r="L91" s="208"/>
      <c r="M91" s="208"/>
      <c r="N91" s="208"/>
      <c r="O91" s="208"/>
      <c r="P91" s="208"/>
      <c r="Q91" s="208"/>
      <c r="R91" s="208"/>
      <c r="S91" s="208"/>
      <c r="T91" s="208"/>
      <c r="U91" s="208"/>
      <c r="V91" s="208"/>
      <c r="W91" s="208"/>
    </row>
    <row r="92" spans="1:23" ht="16.5" customHeight="1">
      <c r="A92" s="208"/>
      <c r="B92" s="208"/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8"/>
      <c r="N92" s="208"/>
      <c r="O92" s="208"/>
      <c r="P92" s="208"/>
      <c r="Q92" s="208"/>
      <c r="R92" s="208"/>
      <c r="S92" s="208"/>
      <c r="T92" s="208"/>
      <c r="U92" s="208"/>
      <c r="V92" s="208"/>
      <c r="W92" s="208"/>
    </row>
    <row r="93" spans="1:23" ht="16.5" customHeight="1">
      <c r="A93" s="208"/>
      <c r="B93" s="208"/>
      <c r="C93" s="208"/>
      <c r="D93" s="208"/>
      <c r="E93" s="208"/>
      <c r="F93" s="208"/>
      <c r="G93" s="208"/>
      <c r="H93" s="208"/>
      <c r="I93" s="208"/>
      <c r="J93" s="208"/>
      <c r="K93" s="208"/>
      <c r="L93" s="208"/>
      <c r="M93" s="208"/>
      <c r="N93" s="208"/>
      <c r="O93" s="208"/>
      <c r="P93" s="208"/>
      <c r="Q93" s="208"/>
      <c r="R93" s="208"/>
      <c r="S93" s="208"/>
      <c r="T93" s="208"/>
      <c r="U93" s="208"/>
      <c r="V93" s="208"/>
      <c r="W93" s="208"/>
    </row>
    <row r="94" spans="1:23" ht="16.5" customHeight="1">
      <c r="A94" s="208"/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8"/>
      <c r="P94" s="208"/>
      <c r="Q94" s="208"/>
      <c r="R94" s="208"/>
      <c r="S94" s="208"/>
      <c r="T94" s="208"/>
      <c r="U94" s="208"/>
      <c r="V94" s="208"/>
      <c r="W94" s="208"/>
    </row>
    <row r="95" spans="1:23" ht="16.5" customHeight="1">
      <c r="A95" s="208"/>
      <c r="B95" s="208"/>
      <c r="C95" s="208"/>
      <c r="D95" s="208"/>
      <c r="E95" s="208"/>
      <c r="F95" s="208"/>
      <c r="G95" s="208"/>
      <c r="H95" s="208"/>
      <c r="I95" s="208"/>
      <c r="J95" s="208"/>
      <c r="K95" s="208"/>
      <c r="L95" s="208"/>
      <c r="M95" s="208"/>
      <c r="N95" s="208"/>
      <c r="O95" s="208"/>
      <c r="P95" s="208"/>
      <c r="Q95" s="208"/>
      <c r="R95" s="208"/>
      <c r="S95" s="208"/>
      <c r="T95" s="208"/>
      <c r="U95" s="208"/>
      <c r="V95" s="208"/>
      <c r="W95" s="208"/>
    </row>
    <row r="96" spans="1:23" ht="16.5" customHeight="1">
      <c r="A96" s="208"/>
      <c r="B96" s="208"/>
      <c r="C96" s="208"/>
      <c r="D96" s="208"/>
      <c r="E96" s="208"/>
      <c r="F96" s="208"/>
      <c r="G96" s="208"/>
      <c r="H96" s="208"/>
      <c r="I96" s="208"/>
      <c r="J96" s="208"/>
      <c r="K96" s="208"/>
      <c r="L96" s="208"/>
      <c r="M96" s="208"/>
      <c r="N96" s="208"/>
      <c r="O96" s="208"/>
      <c r="P96" s="208"/>
      <c r="Q96" s="208"/>
      <c r="R96" s="208"/>
      <c r="S96" s="208"/>
      <c r="T96" s="208"/>
      <c r="U96" s="208"/>
      <c r="V96" s="208"/>
      <c r="W96" s="208"/>
    </row>
    <row r="97" spans="1:23" ht="16.5" customHeight="1">
      <c r="A97" s="208"/>
      <c r="B97" s="208"/>
      <c r="C97" s="208"/>
      <c r="D97" s="208"/>
      <c r="E97" s="208"/>
      <c r="F97" s="208"/>
      <c r="G97" s="208"/>
      <c r="H97" s="208"/>
      <c r="I97" s="208"/>
      <c r="J97" s="208"/>
      <c r="K97" s="208"/>
      <c r="L97" s="208"/>
      <c r="M97" s="208"/>
      <c r="N97" s="208"/>
      <c r="O97" s="208"/>
      <c r="P97" s="208"/>
      <c r="Q97" s="208"/>
      <c r="R97" s="208"/>
      <c r="S97" s="208"/>
      <c r="T97" s="208"/>
      <c r="U97" s="208"/>
      <c r="V97" s="208"/>
      <c r="W97" s="208"/>
    </row>
    <row r="98" spans="1:23" ht="16.5" customHeight="1">
      <c r="A98" s="208"/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8"/>
      <c r="P98" s="208"/>
      <c r="Q98" s="208"/>
      <c r="R98" s="208"/>
      <c r="S98" s="208"/>
      <c r="T98" s="208"/>
      <c r="U98" s="208"/>
      <c r="V98" s="208"/>
      <c r="W98" s="208"/>
    </row>
    <row r="99" spans="1:23" ht="16.5" customHeight="1">
      <c r="A99" s="208"/>
      <c r="B99" s="208"/>
      <c r="C99" s="208"/>
      <c r="D99" s="208"/>
      <c r="E99" s="208"/>
      <c r="F99" s="208"/>
      <c r="G99" s="208"/>
      <c r="H99" s="208"/>
      <c r="I99" s="208"/>
      <c r="J99" s="208"/>
      <c r="K99" s="208"/>
      <c r="L99" s="208"/>
      <c r="M99" s="208"/>
      <c r="N99" s="208"/>
      <c r="O99" s="208"/>
      <c r="P99" s="208"/>
      <c r="Q99" s="208"/>
      <c r="R99" s="208"/>
      <c r="S99" s="208"/>
      <c r="T99" s="208"/>
      <c r="U99" s="208"/>
      <c r="V99" s="208"/>
      <c r="W99" s="208"/>
    </row>
    <row r="100" spans="1:23" ht="16.5" customHeight="1">
      <c r="A100" s="208"/>
      <c r="B100" s="208"/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208"/>
      <c r="P100" s="208"/>
      <c r="Q100" s="208"/>
      <c r="R100" s="208"/>
      <c r="S100" s="208"/>
      <c r="T100" s="208"/>
      <c r="U100" s="208"/>
      <c r="V100" s="208"/>
      <c r="W100" s="208"/>
    </row>
  </sheetData>
  <mergeCells count="62">
    <mergeCell ref="A9:D10"/>
    <mergeCell ref="E9:F10"/>
    <mergeCell ref="A13:D14"/>
    <mergeCell ref="E13:F14"/>
    <mergeCell ref="A11:D12"/>
    <mergeCell ref="E11:F12"/>
    <mergeCell ref="A1:B1"/>
    <mergeCell ref="C1:K1"/>
    <mergeCell ref="P1:S1"/>
    <mergeCell ref="U1:V1"/>
    <mergeCell ref="G4:H4"/>
    <mergeCell ref="R4:T4"/>
    <mergeCell ref="O4:Q4"/>
    <mergeCell ref="U4:W4"/>
    <mergeCell ref="A2:D3"/>
    <mergeCell ref="A4:D4"/>
    <mergeCell ref="I4:K4"/>
    <mergeCell ref="E2:F3"/>
    <mergeCell ref="G2:H3"/>
    <mergeCell ref="I2:W2"/>
    <mergeCell ref="I3:W3"/>
    <mergeCell ref="A7:D8"/>
    <mergeCell ref="A5:D6"/>
    <mergeCell ref="G5:H6"/>
    <mergeCell ref="I5:K5"/>
    <mergeCell ref="I8:K8"/>
    <mergeCell ref="L8:N8"/>
    <mergeCell ref="E4:F4"/>
    <mergeCell ref="L4:N4"/>
    <mergeCell ref="E5:F6"/>
    <mergeCell ref="L7:N7"/>
    <mergeCell ref="I6:K6"/>
    <mergeCell ref="I7:K7"/>
    <mergeCell ref="E7:F8"/>
    <mergeCell ref="G7:H8"/>
    <mergeCell ref="G9:H10"/>
    <mergeCell ref="I14:K14"/>
    <mergeCell ref="I13:K13"/>
    <mergeCell ref="R11:T11"/>
    <mergeCell ref="R12:T12"/>
    <mergeCell ref="O10:Q10"/>
    <mergeCell ref="L12:N12"/>
    <mergeCell ref="G11:H12"/>
    <mergeCell ref="O13:Q13"/>
    <mergeCell ref="G13:H14"/>
    <mergeCell ref="I10:K10"/>
    <mergeCell ref="O12:Q12"/>
    <mergeCell ref="O11:Q11"/>
    <mergeCell ref="I12:K12"/>
    <mergeCell ref="I11:K11"/>
    <mergeCell ref="R13:T13"/>
    <mergeCell ref="R14:T14"/>
    <mergeCell ref="U14:W14"/>
    <mergeCell ref="O9:Q9"/>
    <mergeCell ref="I9:K9"/>
    <mergeCell ref="L9:N9"/>
    <mergeCell ref="U13:W13"/>
    <mergeCell ref="L11:N11"/>
    <mergeCell ref="L10:N10"/>
    <mergeCell ref="L14:N14"/>
    <mergeCell ref="L13:N13"/>
    <mergeCell ref="O14:Q14"/>
  </mergeCells>
  <phoneticPr fontId="58" type="noConversion"/>
  <pageMargins left="0.69999998807907104" right="0.69999998807907104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5</vt:i4>
      </vt:variant>
    </vt:vector>
  </HeadingPairs>
  <TitlesOfParts>
    <vt:vector size="12" baseType="lpstr">
      <vt:lpstr>기록지(먼지)</vt:lpstr>
      <vt:lpstr>등속계산</vt:lpstr>
      <vt:lpstr>기록지 양식(성적서용)</vt:lpstr>
      <vt:lpstr>연소가스</vt:lpstr>
      <vt:lpstr>기록부</vt:lpstr>
      <vt:lpstr>계산식</vt:lpstr>
      <vt:lpstr>측정점</vt:lpstr>
      <vt:lpstr>'기록지(먼지)'!Print_Area</vt:lpstr>
      <vt:lpstr>등속계산!Print_Area</vt:lpstr>
      <vt:lpstr>기록지01</vt:lpstr>
      <vt:lpstr>기록지02</vt:lpstr>
      <vt:lpstr>인자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Taeyoung LEE</dc:creator>
  <cp:lastModifiedBy>HJM</cp:lastModifiedBy>
  <cp:revision>9</cp:revision>
  <cp:lastPrinted>2026-04-30T09:49:01Z</cp:lastPrinted>
  <dcterms:created xsi:type="dcterms:W3CDTF">2020-07-27T00:31:28Z</dcterms:created>
  <dcterms:modified xsi:type="dcterms:W3CDTF">2026-08-28T04:38:35Z</dcterms:modified>
  <cp:version>1100.0100.01</cp:version>
</cp:coreProperties>
</file>